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ce5da157682d65/Documentos/Controle de cargos/"/>
    </mc:Choice>
  </mc:AlternateContent>
  <xr:revisionPtr revIDLastSave="1" documentId="14_{F5AD5F3E-EEE1-414C-855D-2CE886BF0A7E}" xr6:coauthVersionLast="47" xr6:coauthVersionMax="47" xr10:uidLastSave="{DA0A669B-12B5-4EC2-822A-1DD3E849B768}"/>
  <bookViews>
    <workbookView xWindow="-120" yWindow="-120" windowWidth="29040" windowHeight="15720" tabRatio="500" xr2:uid="{00000000-000D-0000-FFFF-FFFF00000000}"/>
  </bookViews>
  <sheets>
    <sheet name="Planilh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L2" i="1" l="1"/>
  <c r="L3" i="1"/>
  <c r="L4" i="1"/>
  <c r="L6" i="1"/>
  <c r="L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5" i="1"/>
  <c r="L146" i="1"/>
  <c r="L147" i="1"/>
  <c r="L144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N1" authorId="0" shapeId="0" xr:uid="{00000000-0006-0000-0000-000007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AO1" authorId="0" shapeId="0" xr:uid="{00000000-0006-0000-0000-000008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Divergências entre quantidade de vagas e nomes de cargos</t>
        </r>
      </text>
    </comment>
    <comment ref="BE1" authorId="0" shapeId="0" xr:uid="{00000000-0006-0000-0000-000009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Divergências entre quantidade de vagas</t>
        </r>
      </text>
    </comment>
    <comment ref="BH1" authorId="0" shapeId="0" xr:uid="{00000000-0006-0000-0000-00000A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BJ1" authorId="0" shapeId="0" xr:uid="{00000000-0006-0000-0000-00000B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Falta anexo</t>
        </r>
      </text>
    </comment>
    <comment ref="BY1" authorId="0" shapeId="0" xr:uid="{00000000-0006-0000-0000-00000C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Rever</t>
        </r>
      </text>
    </comment>
    <comment ref="BZ1" authorId="0" shapeId="0" xr:uid="{00000000-0006-0000-0000-00000D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Rever situação dos Auditores</t>
        </r>
      </text>
    </comment>
    <comment ref="DT1" authorId="0" shapeId="0" xr:uid="{00000000-0006-0000-0000-000010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 novamente</t>
        </r>
      </text>
    </comment>
    <comment ref="DX1" authorId="0" shapeId="0" xr:uid="{00000000-0006-0000-0000-000011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EQ1" authorId="0" shapeId="0" xr:uid="{00000000-0006-0000-0000-000014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A11" authorId="0" shapeId="0" xr:uid="{00000000-0006-0000-0000-000001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 xml:space="preserve">Anteriormente Agente de Controle de Endemias; Da Lei 1632/16 em diante é tratado como Agente de Combate às Endemias
</t>
        </r>
      </text>
    </comment>
    <comment ref="A115" authorId="0" shapeId="0" xr:uid="{00000000-0006-0000-0000-000002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Lei de criação não encontrada</t>
        </r>
      </text>
    </comment>
    <comment ref="DJ154" authorId="0" shapeId="0" xr:uid="{00000000-0006-0000-0000-00000E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Erro</t>
        </r>
      </text>
    </comment>
    <comment ref="I157" authorId="0" shapeId="0" xr:uid="{00000000-0006-0000-0000-000006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Lei 1424/13 CC-5</t>
        </r>
      </text>
    </comment>
    <comment ref="EJ186" authorId="0" shapeId="0" xr:uid="{00000000-0006-0000-0000-000013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Seriam 3 de Diretor de Posto de Saúde A EX-05 e EX-06, mas o EX-6 já foi totalmente extinto</t>
        </r>
      </text>
    </comment>
    <comment ref="DJ244" authorId="0" shapeId="0" xr:uid="{00000000-0006-0000-0000-00000F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Erro</t>
        </r>
      </text>
    </comment>
    <comment ref="A279" authorId="0" shapeId="0" xr:uid="{00000000-0006-0000-0000-000003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A284" authorId="0" shapeId="0" xr:uid="{00000000-0006-0000-0000-000004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DX284" authorId="0" shapeId="0" xr:uid="{00000000-0006-0000-0000-000012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  <comment ref="A287" authorId="0" shapeId="0" xr:uid="{00000000-0006-0000-0000-000005000000}">
      <text>
        <r>
          <rPr>
            <sz val="10"/>
            <rFont val="Arial"/>
            <family val="2"/>
          </rPr>
          <t xml:space="preserve">Usuario:
</t>
        </r>
        <r>
          <rPr>
            <sz val="9"/>
            <color rgb="FF000000"/>
            <rFont val="Segoe UI"/>
            <family val="2"/>
          </rPr>
          <t>Verificar</t>
        </r>
      </text>
    </comment>
  </commentList>
</comments>
</file>

<file path=xl/sharedStrings.xml><?xml version="1.0" encoding="utf-8"?>
<sst xmlns="http://schemas.openxmlformats.org/spreadsheetml/2006/main" count="3196" uniqueCount="1067">
  <si>
    <t>Cargo</t>
  </si>
  <si>
    <t>Situação</t>
  </si>
  <si>
    <t>Código FOPAG</t>
  </si>
  <si>
    <t>Tipo de Provimento</t>
  </si>
  <si>
    <t>Recrutamento</t>
  </si>
  <si>
    <t>Restrição - Exigência</t>
  </si>
  <si>
    <t>Carga Horária Semanal</t>
  </si>
  <si>
    <t>Fonte Carga Horária</t>
  </si>
  <si>
    <t>Símbolo de Vencimento</t>
  </si>
  <si>
    <t>Total de cargos PREVISTOS</t>
  </si>
  <si>
    <t>Total de cargos OCUPADOS</t>
  </si>
  <si>
    <t>SALDO TOTAL</t>
  </si>
  <si>
    <t>Atribuições</t>
  </si>
  <si>
    <t>813/99 - Plano de cargos, vencimentos e carreiras do servidores públicos</t>
  </si>
  <si>
    <t>824/00</t>
  </si>
  <si>
    <t>827/00</t>
  </si>
  <si>
    <t>845/00</t>
  </si>
  <si>
    <t>846/00 - Disciplina o regime de emprego público de pessoal da UTIL</t>
  </si>
  <si>
    <t>851/01</t>
  </si>
  <si>
    <t>867/01</t>
  </si>
  <si>
    <t>924/01 - Concurso</t>
  </si>
  <si>
    <t>926/02</t>
  </si>
  <si>
    <t>929/02</t>
  </si>
  <si>
    <t>933/02</t>
  </si>
  <si>
    <t>944/02</t>
  </si>
  <si>
    <t>984/03</t>
  </si>
  <si>
    <t>985/03</t>
  </si>
  <si>
    <t>994/03</t>
  </si>
  <si>
    <t>1004/03 - Concurso</t>
  </si>
  <si>
    <t>1013/03 - Cria Conselho Tutelar</t>
  </si>
  <si>
    <t>1015/03</t>
  </si>
  <si>
    <t>1017/03 - Plano de Cargos, Vencimentos e Carreiras da CAPPS</t>
  </si>
  <si>
    <t>1019/03</t>
  </si>
  <si>
    <t>1027/03</t>
  </si>
  <si>
    <t>1034/04</t>
  </si>
  <si>
    <t>1058/04</t>
  </si>
  <si>
    <t>1073/04 (Verificar)</t>
  </si>
  <si>
    <t>1075/04</t>
  </si>
  <si>
    <t>1079/04</t>
  </si>
  <si>
    <t>1085/05</t>
  </si>
  <si>
    <t>1090/05</t>
  </si>
  <si>
    <t>1162/07 - Extinção da UTIL; Quadro de pessoal se constitui em quadro suplementar da Sec. Mun. De Obras;</t>
  </si>
  <si>
    <t>1165/07 - Conselho Tutelar</t>
  </si>
  <si>
    <t>1167/07</t>
  </si>
  <si>
    <t>1169/07 (Verificar)</t>
  </si>
  <si>
    <t>1175/07 (Art. 2º revogado pela Lei 1786/18)</t>
  </si>
  <si>
    <t>1190/08</t>
  </si>
  <si>
    <t>1202/08</t>
  </si>
  <si>
    <t>1206/08</t>
  </si>
  <si>
    <t>1209/08</t>
  </si>
  <si>
    <t>1223/08</t>
  </si>
  <si>
    <t>1230/08 - Quadro complementar de quadros em extinção</t>
  </si>
  <si>
    <t>1232/08</t>
  </si>
  <si>
    <t>1233/08 - Altera as Leis nº 718/1998 e 846/2000</t>
  </si>
  <si>
    <t>1241/08 - Cria DPCA da Guarda Municipal</t>
  </si>
  <si>
    <t>1244/08 - Carga horária Médico Veterinário e Pedagogo</t>
  </si>
  <si>
    <t>1260/09</t>
  </si>
  <si>
    <t>1261/09</t>
  </si>
  <si>
    <t>1272/09 (art. 2º revogado pela Lei nº 2158/2024)</t>
  </si>
  <si>
    <t>1278/09 (Revogada parcialmente pela Lei 1625/15)</t>
  </si>
  <si>
    <t>1285/09</t>
  </si>
  <si>
    <t>1299/10</t>
  </si>
  <si>
    <t>1307/10</t>
  </si>
  <si>
    <t>1309/10</t>
  </si>
  <si>
    <t>1311/10 (Art. 2º revogado pela Lei 1786/18)</t>
  </si>
  <si>
    <t>1317/10</t>
  </si>
  <si>
    <t>1318/10</t>
  </si>
  <si>
    <t>1340/10</t>
  </si>
  <si>
    <t>1341/10</t>
  </si>
  <si>
    <t>1343/10</t>
  </si>
  <si>
    <t>1344/10</t>
  </si>
  <si>
    <t>1346/10</t>
  </si>
  <si>
    <t>1362/11</t>
  </si>
  <si>
    <t>1363/11</t>
  </si>
  <si>
    <t>1364/11</t>
  </si>
  <si>
    <t>1365/11</t>
  </si>
  <si>
    <t>1367/11 - Revoga a Lei 699/98; Plano de Carreira e Remuneração do Magistério; Revogada pela Lei 1808/18</t>
  </si>
  <si>
    <t>1375/11</t>
  </si>
  <si>
    <t>1376/11 - Extingue Sec. Mun. De Segurança Pública; Revoga Lei 1317/10</t>
  </si>
  <si>
    <t>1377/11</t>
  </si>
  <si>
    <t>1386/12</t>
  </si>
  <si>
    <t>1391/12</t>
  </si>
  <si>
    <t>1392/12</t>
  </si>
  <si>
    <t>1394/12</t>
  </si>
  <si>
    <t>1395/12</t>
  </si>
  <si>
    <t>1396/12</t>
  </si>
  <si>
    <t>1399/12</t>
  </si>
  <si>
    <t>1404/12</t>
  </si>
  <si>
    <t>1405/12</t>
  </si>
  <si>
    <t>1406/12 - Regimento Interno CGM</t>
  </si>
  <si>
    <t>1411/12</t>
  </si>
  <si>
    <t>1416/12</t>
  </si>
  <si>
    <t>1419/13</t>
  </si>
  <si>
    <t>1422/13</t>
  </si>
  <si>
    <t>1423/13</t>
  </si>
  <si>
    <t>1424/13</t>
  </si>
  <si>
    <t>1427/13</t>
  </si>
  <si>
    <t>1428/13 (Revogada pela Lei nº 2163/2024</t>
  </si>
  <si>
    <t>1430/13</t>
  </si>
  <si>
    <t>1431/13</t>
  </si>
  <si>
    <t>1432/13</t>
  </si>
  <si>
    <t>1433/13 (Revogada pela Lei 1786/18)</t>
  </si>
  <si>
    <t>1434/13</t>
  </si>
  <si>
    <t>1440/13</t>
  </si>
  <si>
    <t>1443/13</t>
  </si>
  <si>
    <t>1448/13</t>
  </si>
  <si>
    <t>1449/13</t>
  </si>
  <si>
    <t>1450/13</t>
  </si>
  <si>
    <t>1451/13</t>
  </si>
  <si>
    <t>1452/13</t>
  </si>
  <si>
    <t>1459/13</t>
  </si>
  <si>
    <t>1460/13 - Reestrutura Lei 1017/03 (CAPPS)</t>
  </si>
  <si>
    <t>1461/13 - Controle Interno CAPPS</t>
  </si>
  <si>
    <t>1465/13 - Revogada parcialmente pela Lei 1632/16</t>
  </si>
  <si>
    <t>1466/13 - Concurso CAPS</t>
  </si>
  <si>
    <t>1468/13</t>
  </si>
  <si>
    <t>1495/14</t>
  </si>
  <si>
    <t>1524/14</t>
  </si>
  <si>
    <t>1526/14</t>
  </si>
  <si>
    <t>1527/14</t>
  </si>
  <si>
    <t>1528/14 (Revogada pela Lei 1598/15; Revogada pela Lei 1786/18)</t>
  </si>
  <si>
    <t>1555/14</t>
  </si>
  <si>
    <t>1563/14</t>
  </si>
  <si>
    <t>1580/15</t>
  </si>
  <si>
    <t>1598/15 (Revogada pela Lei nº 2158/2024)</t>
  </si>
  <si>
    <t>1599/15</t>
  </si>
  <si>
    <t>1600/15</t>
  </si>
  <si>
    <t>1604/15</t>
  </si>
  <si>
    <t>1605/15</t>
  </si>
  <si>
    <t>1608/15 - Altera de Auditor para Auditor Fiscal</t>
  </si>
  <si>
    <t>1617/15 - Altera Lei 1604/15</t>
  </si>
  <si>
    <t>1618/15 - Altera Anexo I Lei 1367/11; Revogada pela Lei 1808/18</t>
  </si>
  <si>
    <t>1625/16 - Revoga parcialmente Lei 1278/09; Altera de Auditor para Auditor Fiscal</t>
  </si>
  <si>
    <t>1632/16 - Plano de Cargos, Carreiras e Salários ACE e ACS; Alterada pela Lei 1814/19</t>
  </si>
  <si>
    <t>1637/16</t>
  </si>
  <si>
    <t>1643/16</t>
  </si>
  <si>
    <t>1659/16</t>
  </si>
  <si>
    <t>1662/16</t>
  </si>
  <si>
    <t>1664/16 - Estatuto da Guarda Civil de Miracema, o Plano de Cargos e Carreira, Regimento Interno</t>
  </si>
  <si>
    <t>1680/16</t>
  </si>
  <si>
    <t>1687/16</t>
  </si>
  <si>
    <t>1688/17</t>
  </si>
  <si>
    <t>1704/17</t>
  </si>
  <si>
    <t>1707/17</t>
  </si>
  <si>
    <t>1708/17</t>
  </si>
  <si>
    <t>1715/17</t>
  </si>
  <si>
    <t>1727/17 - Reestrutura RPPS</t>
  </si>
  <si>
    <t>1731/17</t>
  </si>
  <si>
    <t>1732/17</t>
  </si>
  <si>
    <t>1733/17</t>
  </si>
  <si>
    <t>1743/17 - Reestrutura a S. M. de Licitação e Compras; Altera para S. M. de Licitação, Compras e Contratos; Revogada pela Lei nº 2158/2024</t>
  </si>
  <si>
    <t>1749/17</t>
  </si>
  <si>
    <t>1750/17</t>
  </si>
  <si>
    <t>1768/18</t>
  </si>
  <si>
    <t>1772/18</t>
  </si>
  <si>
    <t>1786/18 - Revoga Leis 1433/13, 1528/14, 1311/10 (art. 2º), 1175/07 (art. 2º)</t>
  </si>
  <si>
    <t>1796/18 - Reduz carga horária de Zootecnista</t>
  </si>
  <si>
    <t>1798/18 - Altera Lei 1664/16</t>
  </si>
  <si>
    <t>1799/18</t>
  </si>
  <si>
    <t>1800/18 - Altera Lei 1608/15</t>
  </si>
  <si>
    <t>1808/18 - Reformulação, implantação e gestão do Plano de Carreira do Magistério Público Municipal de Miracema</t>
  </si>
  <si>
    <t>1809/18 - Reestruturação dos cargos de Fiscal de Tributos, Técnico de Tributação e Auxiliar de Tributação</t>
  </si>
  <si>
    <t>1813/19 - Reestrutura RPPS</t>
  </si>
  <si>
    <t>1814/19 - Regulamenta Lei Federal nº 13.708/18, alterando a Lei Municipal nº 1632/16 - ACS e ACE</t>
  </si>
  <si>
    <t>1823/19</t>
  </si>
  <si>
    <t>1825/19</t>
  </si>
  <si>
    <t>1840/19 - Plano de Carreira, Cargos e Remuneração - Fiscal de Tributos, Analista Tributário e Agente Tributário</t>
  </si>
  <si>
    <t>1857/19</t>
  </si>
  <si>
    <t>1858/19</t>
  </si>
  <si>
    <t>1863/19 - Plano de Carreira, Cargos e Remuneração - S. M. Obras e Transporte e S. M. Meio Ambiente</t>
  </si>
  <si>
    <t>1864/19</t>
  </si>
  <si>
    <t>1868/20 - Estatuto da Guarda Civil de Miracema, o Plano de Cargos e Carreira, Regimento Interno</t>
  </si>
  <si>
    <t>1873/19</t>
  </si>
  <si>
    <t>1884/20 - Plano de carreira e vencimentos da Área de Tecnologia da Informação</t>
  </si>
  <si>
    <t>1885/20 - Plano de carreira e vencimentos de Auxiliar de Administração</t>
  </si>
  <si>
    <t>1886/20 - Reenquadramento por transposição de regime jurídico do pessoal da UTIL</t>
  </si>
  <si>
    <t>1887/20</t>
  </si>
  <si>
    <t>1888/20 - Altera remuneração de Auxiliar de Saúde Bucal e Auxiliar de Material</t>
  </si>
  <si>
    <t>1889/20</t>
  </si>
  <si>
    <t>1934/21</t>
  </si>
  <si>
    <t>1935/21</t>
  </si>
  <si>
    <t>1957/21</t>
  </si>
  <si>
    <t>1960/21</t>
  </si>
  <si>
    <t>1999/21</t>
  </si>
  <si>
    <t>2000/21</t>
  </si>
  <si>
    <t>2001/21</t>
  </si>
  <si>
    <t>2009/22</t>
  </si>
  <si>
    <t>2014/22</t>
  </si>
  <si>
    <t>2029/22 - Implantação do Vencimento Básico dos Agentes Comunitários de Saúde e Agentes de Combate às Endemias</t>
  </si>
  <si>
    <t>2035/22</t>
  </si>
  <si>
    <t>2036/22</t>
  </si>
  <si>
    <t>2041/22 - Plano de Carreira, Cargos e Remuneração - Jardineiros, Garis, Coveiros e Auxiliar de Arquivo</t>
  </si>
  <si>
    <t>2042/22 - Plano de Carreira, Cargos e Remuneração - Ajudante de Obras e Serviços</t>
  </si>
  <si>
    <t>2043/22 - Plano de Carreira, Cargos e Remuneração - Economista</t>
  </si>
  <si>
    <t>2050/22</t>
  </si>
  <si>
    <t>2051/22</t>
  </si>
  <si>
    <t>2053/22 - Plano de Carreira, Cargos e Remuneração - Auxiliar de Saúde, Auxiliar de Enfermagem e Auxiliar de Laboratório</t>
  </si>
  <si>
    <t>2058/22 - Moderniza, regulamenta a estrutura e as atribuições do Departamento de Recursos Humanos e do Departamento de Registro de Pagamento e Pessoal (Revogada pela Lei nº 2163/2024)</t>
  </si>
  <si>
    <t>2064/22</t>
  </si>
  <si>
    <t>2065/22 - Altera Lei 2043/22 (Economista)</t>
  </si>
  <si>
    <t>2066/22</t>
  </si>
  <si>
    <t>2067/22 - Regulamenta a carga horária de Farmacêutico e Auxiliar de Laboratório</t>
  </si>
  <si>
    <t>2068/22 - Plano de Carreira, Cargos e Remuneração - Secretário Escolar</t>
  </si>
  <si>
    <t>2069/22 - Plano de Carreira, Cargos e Remuneração - Pedagogo</t>
  </si>
  <si>
    <t>2070/22 - Altera as Leis 1809/18, 1840/19, 813/99, 798/99</t>
  </si>
  <si>
    <t>2092/23</t>
  </si>
  <si>
    <t>2096/23 - Regulamenta o vencimento dos Servidores Municipais que possuem estabilidade excepcional garantida pelo art. 19 do ADCT</t>
  </si>
  <si>
    <t>2110/23 - Plano de Carreira e Vencimentos de Técnico de Administração e Contador</t>
  </si>
  <si>
    <t>2117/23 - Altera Lei 1884/20</t>
  </si>
  <si>
    <t>2122/23 - Extingue 1 cargo de Assessor (S. M Governo) e cria 1 cargo de Responsável pela Supervisão e Fiscalização dos Serviços de Varrição de Vias e Logradouros Públicos (S. M. Meio Ambiente)</t>
  </si>
  <si>
    <t>2139/23 - Plano de Carreira e Vencimentos de Enfermeiro, Técnico de Enfermagem e Fonoaudiólogo</t>
  </si>
  <si>
    <t>2140/23 - Plano de Carreira e Vencimentos de Motorista, Operador de Máquinas Pesadas e Motorista de Ambulância</t>
  </si>
  <si>
    <t>2141/23 - Plano de Carreira e Vencimentos de Cantineiro Escolar, Servente Escolar e Contínuo-Servente</t>
  </si>
  <si>
    <t>2142/23 - Plano de Carreira e Vencimentos de Médico Veterinário, Biólogo, Técnico Agrícola e Auxiliar de Biblioteca</t>
  </si>
  <si>
    <t>2143/23 - Plano de Carreira e Vencimentos de Instrutor Oficineiro e Cozinheiro</t>
  </si>
  <si>
    <t>2144/23 - Plano de Carreira e Vencimentos Técnico em Saúde Bucal e Auxiliar em Saúde Bucal</t>
  </si>
  <si>
    <t>2148/23 - Plano de Carreira e Vencimentos do Quadro da UTIL (não optantes)</t>
  </si>
  <si>
    <t>2149/24 - Altera Lei 1868/19 (Guarda Municipal)</t>
  </si>
  <si>
    <t>2154/2024 - reestruturação de carreiras do Poder Executivo, instituindo o Plano de Carreira, Cargos e Remuneração</t>
  </si>
  <si>
    <t>2158/2024 - Estruturação e modernização da Secretaria de Licitação, Compras e Contratos
Revoga as Leis nº 1743/2017, 1598/2015, 1272/2009 (art. 2º)</t>
  </si>
  <si>
    <t>2159/2024 - Regulamenta a carga horaria Fonoaudiólogo</t>
  </si>
  <si>
    <t>2163/2024 - Regulamenta a estrutura e as atribuições da
Coordenadoria Geral de Recursos Humanos e do
Coordenadoria Geral de Registro de Pagamento e
Pessoal (Revoga as Leis nº 1428/2013 e 2058/2022)</t>
  </si>
  <si>
    <t>2169/2024 - Criação do Fundo Municipal de Educação - FME</t>
  </si>
  <si>
    <t>2189/2024 - Regulamenta a carga horaria Assistente Social e Massoterapeuta</t>
  </si>
  <si>
    <t>2194/2024 - Cria cargos ACS</t>
  </si>
  <si>
    <t>2196/2024 - Retifica art. 1 da Lei 2194/2024</t>
  </si>
  <si>
    <t>2287/26 - Cria 1 cargo</t>
  </si>
  <si>
    <t>Lei nº 2.275/2026</t>
  </si>
  <si>
    <t>Advogado do Centro de Referência Especializada de Assistência Social</t>
  </si>
  <si>
    <t>Em vigor</t>
  </si>
  <si>
    <t>Efetivo</t>
  </si>
  <si>
    <t>Superior</t>
  </si>
  <si>
    <t>Edital 2023 - BO 375</t>
  </si>
  <si>
    <t>P-34</t>
  </si>
  <si>
    <t>Lei complementar Municipal Nº 1465/2013 - Art. 30, X</t>
  </si>
  <si>
    <t>Cria 1</t>
  </si>
  <si>
    <t>Agente Comunitário de Saúde - CEHAB</t>
  </si>
  <si>
    <t>Ensino Médio (Lei Federal nº 11.350/2006)</t>
  </si>
  <si>
    <t xml:space="preserve"> (Lei 1632/2016 e  Lei Federal nº 13.708/18)</t>
  </si>
  <si>
    <t>P-I</t>
  </si>
  <si>
    <t>Lei ordinária Municipal Nº 1632/2016 - Art. 4º</t>
  </si>
  <si>
    <t>Cria 23; Edital Concurso 2014 distribui vagas. Art. 20 da Lei 1632/16 revoga art. 25 da Lei 1465/13, extinguindo as 23 vagas criadas pela Lei</t>
  </si>
  <si>
    <r>
      <rPr>
        <sz val="11"/>
        <color rgb="FF000000"/>
        <rFont val="Calibri"/>
        <family val="2"/>
      </rPr>
      <t>Plano de Cargos, Carreiras e Salários; Anexo II cria 6, porém contanto com as vagas extintas. EDITAL Nº 09/ MIRACEMA / ENSINO FUNDAMENTAL / 22/07/2014,  oferta 4 vagas, e até a publicação da Lei 1632/2016, nomeia 4 vagas para CEHAB. Conclui-se que</t>
    </r>
    <r>
      <rPr>
        <b/>
        <sz val="11"/>
        <color rgb="FF000000"/>
        <rFont val="Calibri"/>
        <family val="2"/>
      </rPr>
      <t xml:space="preserve"> fixa 4 vagas </t>
    </r>
  </si>
  <si>
    <t>Cria +1; Totaliza 5</t>
  </si>
  <si>
    <t>Cria +1; Totaliza 6</t>
  </si>
  <si>
    <t>Regulamenta Lei Federal nº 13.708/18, alterando a Lei Municipal nº 1632/16</t>
  </si>
  <si>
    <t>Implanta vencimento inicial</t>
  </si>
  <si>
    <t>Agente Comunitário de Saúde - Cruzeiro</t>
  </si>
  <si>
    <r>
      <rPr>
        <sz val="11"/>
        <color rgb="FF000000"/>
        <rFont val="Calibri"/>
        <family val="2"/>
      </rPr>
      <t>Plano de Cargos, Carreiras e Salários; Anexo II cria 4, porém contanto com as vagas extintas. EDITAL Nº 09/ MIRACEMA / ENSINO FUNDAMENTAL / 22/07/2014,  oferta 3 vagas, e até a publicação da Lei 1632/2016, nomeia 3 vagas para Cruzeiro. Conclui-se que</t>
    </r>
    <r>
      <rPr>
        <b/>
        <sz val="11"/>
        <color rgb="FF000000"/>
        <rFont val="Calibri"/>
        <family val="2"/>
      </rPr>
      <t xml:space="preserve"> fixa 3 vagas </t>
    </r>
  </si>
  <si>
    <t>Cria +1; Totaliza 4</t>
  </si>
  <si>
    <t>Regulamenta Lei Federal nº 13.708/18, alterando a Lei Municipal nº 1632/17</t>
  </si>
  <si>
    <t>Agente Comunitário de Saúde - Jove</t>
  </si>
  <si>
    <t xml:space="preserve"> </t>
  </si>
  <si>
    <r>
      <rPr>
        <sz val="11"/>
        <color rgb="FF000000"/>
        <rFont val="Calibri"/>
        <family val="2"/>
      </rPr>
      <t>Plano de Cargos, Carreiras e Salários; Anexo II cria 4, porém contanto com as vagas extintas. EDITAL Nº 09/ MIRACEMA / ENSINO FUNDAMENTAL / 22/07/2014,  oferta 3 vagas, e até a publicação da Lei 1632/2016, nomeia 2 vagas para Jove. Conclui-se que</t>
    </r>
    <r>
      <rPr>
        <b/>
        <sz val="11"/>
        <color rgb="FF000000"/>
        <rFont val="Calibri"/>
        <family val="2"/>
      </rPr>
      <t xml:space="preserve"> fixa 2 vagas </t>
    </r>
  </si>
  <si>
    <t>Cria +2; Totaliza 4</t>
  </si>
  <si>
    <t>Regulamenta Lei Federal nº 13.708/18, alterando a Lei Municipal nº 1632/18</t>
  </si>
  <si>
    <t>Agente Comunitário de Saúde - Jardim Bervely</t>
  </si>
  <si>
    <r>
      <rPr>
        <sz val="11"/>
        <color rgb="FF000000"/>
        <rFont val="Calibri"/>
        <family val="2"/>
      </rPr>
      <t>Plano de Cargos, Carreiras e Salários; Anexo II cria 6, porém contanto com as vagas extintas. EDITAL Nº 09/ MIRACEMA / ENSINO FUNDAMENTAL / 22/07/2014,  oferta 0 (CR) vagas, e até a publicação da Lei 1632/2016, nomeia 0 vagas para Jardim Bervely. Conclui-se que</t>
    </r>
    <r>
      <rPr>
        <b/>
        <sz val="11"/>
        <color rgb="FF000000"/>
        <rFont val="Calibri"/>
        <family val="2"/>
      </rPr>
      <t xml:space="preserve"> fixa 0 vagas </t>
    </r>
  </si>
  <si>
    <t>Regulamenta Lei Federal nº 13.708/18, alterando a Lei Municipal nº 1632/19</t>
  </si>
  <si>
    <t>Agente Comunitário de Saúde - Nossa Senhora Aparecida</t>
  </si>
  <si>
    <r>
      <rPr>
        <sz val="11"/>
        <color rgb="FF000000"/>
        <rFont val="Calibri"/>
        <family val="2"/>
      </rPr>
      <t>Plano de Cargos, Carreiras e Salários; Anexo II cria 0. EDITAL Nº 09/ MIRACEMA / ENSINO FUNDAMENTAL / 22/07/2014,  oferta 0 (CR) vagas, e até a publicação da Lei 1632/2016, nomeia 0 vagas para Nossa Senhora Aparecida. Conclui-se que</t>
    </r>
    <r>
      <rPr>
        <b/>
        <sz val="11"/>
        <color rgb="FF000000"/>
        <rFont val="Calibri"/>
        <family val="2"/>
      </rPr>
      <t xml:space="preserve"> fixa 0 vagas </t>
    </r>
  </si>
  <si>
    <t>Cria +4; Totaliza 4</t>
  </si>
  <si>
    <t>Regulamenta Lei Federal nº 13.708/18, alterando a Lei Municipal nº 1632/20</t>
  </si>
  <si>
    <t>Cria +3; Totaliza 7</t>
  </si>
  <si>
    <t>Agente Comunitário de Saúde - Paraíso do Tobias</t>
  </si>
  <si>
    <r>
      <rPr>
        <sz val="11"/>
        <color rgb="FF000000"/>
        <rFont val="Calibri"/>
        <family val="2"/>
      </rPr>
      <t>Plano de Cargos, Carreiras e Salários; Anexo II cria 4, porém contanto com as vagas extintas. EDITAL Nº 09/ MIRACEMA / ENSINO FUNDAMENTAL / 22/07/2014,  oferta 3 vagas, e até a publicação da Lei 1632/2016, nomeia 3 vagas para Paraíso do Tobias. Conclui-se que</t>
    </r>
    <r>
      <rPr>
        <b/>
        <sz val="11"/>
        <color rgb="FF000000"/>
        <rFont val="Calibri"/>
        <family val="2"/>
      </rPr>
      <t xml:space="preserve"> fixa 3 vagas </t>
    </r>
  </si>
  <si>
    <t>Cria +2; Totaliza 5</t>
  </si>
  <si>
    <t>Regulamenta Lei Federal nº 13.708/18, alterando a Lei Municipal nº 1632/21</t>
  </si>
  <si>
    <t>Agente Comunitário de Saúde - Pontilhão do Rosa</t>
  </si>
  <si>
    <r>
      <rPr>
        <sz val="11"/>
        <color rgb="FF000000"/>
        <rFont val="Calibri"/>
        <family val="2"/>
      </rPr>
      <t>Plano de Cargos, Carreiras e Salários; Anexo II cria 6, porém contanto com as vagas extintas. EDITAL Nº 09/ MIRACEMA / ENSINO FUNDAMENTAL / 22/07/2014,  oferta 4 vagas, e até a publicação da Lei 1632/2016, nomeia 1 vagas paraPontilhão do Rosa. Conclui-se que</t>
    </r>
    <r>
      <rPr>
        <b/>
        <sz val="11"/>
        <color rgb="FF000000"/>
        <rFont val="Calibri"/>
        <family val="2"/>
      </rPr>
      <t xml:space="preserve"> fixa 1 vaga</t>
    </r>
  </si>
  <si>
    <t>Regulamenta Lei Federal nº 13.708/18, alterando a Lei Municipal nº 1632/22</t>
  </si>
  <si>
    <t>Agente Comunitário de Saúde - Venda das Flores</t>
  </si>
  <si>
    <r>
      <rPr>
        <sz val="11"/>
        <color rgb="FF000000"/>
        <rFont val="Calibri"/>
        <family val="2"/>
      </rPr>
      <t>Plano de Cargos, Carreiras e Salários; Anexo II cria 5, porém contanto com as vagas extintas. EDITAL Nº 09/ MIRACEMA / ENSINO FUNDAMENTAL / 22/07/2014,  oferta 4 vagas, e até a publicação da Lei 1632/2016, nomeia 1 vaga paraVenda das Flores. Conclui-se que</t>
    </r>
    <r>
      <rPr>
        <b/>
        <sz val="11"/>
        <color rgb="FF000000"/>
        <rFont val="Calibri"/>
        <family val="2"/>
      </rPr>
      <t xml:space="preserve"> fixa 1 vaga</t>
    </r>
  </si>
  <si>
    <t>Regulamenta Lei Federal nº 13.708/18, alterando a Lei Municipal nº 1632/23</t>
  </si>
  <si>
    <t>Agente de Combate às Endemias</t>
  </si>
  <si>
    <t>Lei ordinária Municipal Nº 1632/2016 - Art. 5º</t>
  </si>
  <si>
    <t>Cria 13; Edital Concurso 2014 oferta 13 vagas. Art. 20 da Lei 1632/16 revoga art. 26 da Lei 1465/13, extinguindo as 13 vagas criadas pela Lei</t>
  </si>
  <si>
    <t>Plano de Cargos, Carreiras e Salários; Trata como Agente de Combate às Endemias; Parágrafo único do art. 14 dispõe que ficam mantidas as 13 vagas criadas para o cargo, porém, considerando que o art. 26 da Lei revoga as vagas criadas, não há vagas a manter. Total 0 vagas</t>
  </si>
  <si>
    <t>Cria +1; Totaliza 1</t>
  </si>
  <si>
    <t>Mantém 14, porém, deveria ser apenas 1</t>
  </si>
  <si>
    <t>Agente de Contratação - S. M. de Licitação, Compras e Contratos</t>
  </si>
  <si>
    <t>Comissão</t>
  </si>
  <si>
    <t>Limitado</t>
  </si>
  <si>
    <t>Nível de escolaridade Superior</t>
  </si>
  <si>
    <t>Não definida em lei</t>
  </si>
  <si>
    <t>CC-2</t>
  </si>
  <si>
    <t>2158/2024</t>
  </si>
  <si>
    <t>Cria 2</t>
  </si>
  <si>
    <t>Agente de Defesa Civil</t>
  </si>
  <si>
    <t>Não regulamentada em lei</t>
  </si>
  <si>
    <t>Cria 6</t>
  </si>
  <si>
    <t>Agente Tributário</t>
  </si>
  <si>
    <t>Ensino Médio</t>
  </si>
  <si>
    <t>A-I</t>
  </si>
  <si>
    <t>Cria 5</t>
  </si>
  <si>
    <t>Totaliza 5</t>
  </si>
  <si>
    <t>Cria +2; Totaliza 8</t>
  </si>
  <si>
    <t>Altera de Auxiliar de Tributação para Agente Tributário; Altera para Ensino Médio; Totaliza 7; Fixa a carga horária em 40h/semana</t>
  </si>
  <si>
    <t>Fixa a carga horária em 30h/semana</t>
  </si>
  <si>
    <t>Ajudante de Obras e Serviços</t>
  </si>
  <si>
    <t>Ensino Fundamental Incompleto</t>
  </si>
  <si>
    <t>Verificar edital</t>
  </si>
  <si>
    <t>Cria 230</t>
  </si>
  <si>
    <t>Aumenta para 250</t>
  </si>
  <si>
    <t>Totaliza 250</t>
  </si>
  <si>
    <t>Extingue 25</t>
  </si>
  <si>
    <t>Extingue 9</t>
  </si>
  <si>
    <t>Extingue 2</t>
  </si>
  <si>
    <t>Extingue 14</t>
  </si>
  <si>
    <t>Extingue 1</t>
  </si>
  <si>
    <t>Extingue 8</t>
  </si>
  <si>
    <t>Plano de Carreira, Cargos e Remuneração; Altera símbolo de vencimento para A-I</t>
  </si>
  <si>
    <t>Ajudante de Obras e Serviços - UTIL</t>
  </si>
  <si>
    <t>Cria 100</t>
  </si>
  <si>
    <t>Plano de Carreira e Vencimentos; Altera atribuições; Altera de P-02 para A-I</t>
  </si>
  <si>
    <t>Analista da Corregedoria Geral do Município</t>
  </si>
  <si>
    <t>Superior - Direito</t>
  </si>
  <si>
    <t>A-1</t>
  </si>
  <si>
    <t>Analista de Tecnologia da Informação</t>
  </si>
  <si>
    <t>Totaliza 1</t>
  </si>
  <si>
    <t>Cria +1; Totaliza 2</t>
  </si>
  <si>
    <t>Extingue 1; Altera de Analista de Sistemas para Analista de Tecnologia da Informação; Fixa em 1; Altera de P-34 para A-I</t>
  </si>
  <si>
    <t>Altera carga horária de 40 para 30 horas; altera GIDATI</t>
  </si>
  <si>
    <t>Analista Tributário</t>
  </si>
  <si>
    <t>Fixa em 5</t>
  </si>
  <si>
    <t>Altera de Técnico de Tributação para Analista Tributário; Altera para Nível Superior; Fixa em 3; Fixa a carga horária em 40h/semana</t>
  </si>
  <si>
    <t>Arquiteto</t>
  </si>
  <si>
    <t>Cria 1; Totaliza 1</t>
  </si>
  <si>
    <t>Plano de Carreira, Cargos e Remuneração; Dá atribuições; Altera de P-34 para A-I</t>
  </si>
  <si>
    <t>Arquivista</t>
  </si>
  <si>
    <t>Assessor</t>
  </si>
  <si>
    <t>Amplo</t>
  </si>
  <si>
    <t>CC-3</t>
  </si>
  <si>
    <t>Fixa em 4</t>
  </si>
  <si>
    <t>Cria +1 (Planejamento e Desenvolvimento Econômico)</t>
  </si>
  <si>
    <t>Cria +2 (Gabinete do Prefeito)</t>
  </si>
  <si>
    <t>Extingue 1 (Sec. Mun. Governo)</t>
  </si>
  <si>
    <t>Assessor Administrativo do Auditório Cultural Clarinda Damasceno</t>
  </si>
  <si>
    <t>-</t>
  </si>
  <si>
    <t>Assessor CGM - Primeiro Assessor da Controladoria Geral (*)</t>
  </si>
  <si>
    <t>Limitado - Quadro de Auditores Efetivos da CGM (*)</t>
  </si>
  <si>
    <t>Vide escolaridade de Auditor Fiscal (*)</t>
  </si>
  <si>
    <t>1 (alterado de Diretor de Departamento de Auditoria, Controle, Fiscalização e Orientação dos Recursos do Fundeb e Programas da Educação)</t>
  </si>
  <si>
    <t>Assessor CGM - Segundo Assessor da Controladoria Geral (**)</t>
  </si>
  <si>
    <t>Amplo (**)</t>
  </si>
  <si>
    <t>Superior + Registro no Conselho Regional (**)</t>
  </si>
  <si>
    <t>1 (alterado de Diretor do Departamento de Auditoria, Controle, Orientação e Acompanhamento do SIGFIS e Prestações de Contas)</t>
  </si>
  <si>
    <t>Assessor CGM - Terceiro Assessor da Controladoria Geral (***)</t>
  </si>
  <si>
    <t>Limitado (***)</t>
  </si>
  <si>
    <t>Superior (***)</t>
  </si>
  <si>
    <t>Cria +1</t>
  </si>
  <si>
    <t>Assessor da Secretaria de Licitação, Compras e Contratos</t>
  </si>
  <si>
    <t> Superior em qualquer área</t>
  </si>
  <si>
    <t>Lei não informa</t>
  </si>
  <si>
    <t>Cria 1; Revogada pela Lei nº 2158/2024</t>
  </si>
  <si>
    <t>Assessor de Acompanhamento e Lançamento de dados do CENSO, Bolsa Família e frequência da Secretaria Municipal de Educação, Esporte e Lazer</t>
  </si>
  <si>
    <t>Não informado em lei</t>
  </si>
  <si>
    <t>Assessor de Apoio Administrativo da Secretaria Municipal de Educação, Esporte e Lazer</t>
  </si>
  <si>
    <t>Assessor de Apoio Administrativo e Fomento ao Empreendedorismo</t>
  </si>
  <si>
    <t>Assessor de Apoio Fazendário da Secretaria Municipal de Fazenda</t>
  </si>
  <si>
    <t>Restrito</t>
  </si>
  <si>
    <t>Assessor de Eventos - S. M. Cultura e Turismo</t>
  </si>
  <si>
    <t>Assessor de Gabinete</t>
  </si>
  <si>
    <t>Lei ordinária Municipal Nº 1708/2017</t>
  </si>
  <si>
    <t>Assessor de Geração de Trabalho e Renda, Qualificação e Orientação Profissional</t>
  </si>
  <si>
    <t>Assessor de Gestão da Secretaria Municipal de Saúde - S. M. Saúde</t>
  </si>
  <si>
    <t>Assessor de Jogos Coletivos e Modalidades Individuais</t>
  </si>
  <si>
    <t>Assessor de Procuradoria</t>
  </si>
  <si>
    <t>Cria 4</t>
  </si>
  <si>
    <t>Divide em 1 SUAD, 2 SUCON, 1 SUFIT</t>
  </si>
  <si>
    <t>Assessor de Projetos da Secretaria Municipal de Obras, Urbanismo e Transporte - S. M. Obras, Urbanismo e Transporte</t>
  </si>
  <si>
    <t>Assessor de Publicação de Atos Oficiais</t>
  </si>
  <si>
    <t>Vincula ao Gabinete do Prefeito</t>
  </si>
  <si>
    <t>Assessor de Recursos Humanos*</t>
  </si>
  <si>
    <t>Amplo*</t>
  </si>
  <si>
    <t>Cria 1; Revogada pela Lei 2058/22</t>
  </si>
  <si>
    <t>Cria 2; Revogada pela Lei nº 2163/2024</t>
  </si>
  <si>
    <t>Assessor de Recursos Humanos**</t>
  </si>
  <si>
    <t>4 vagas Limitado e 1 vaga amplo</t>
  </si>
  <si>
    <t xml:space="preserve"> Ensino Médio de escolaridade</t>
  </si>
  <si>
    <t xml:space="preserve">Lei ordinária Municipal Nº 2163/2024 </t>
  </si>
  <si>
    <t>Cria 5 – 1 vaga de recrutamento amplo e 4 vagas de recrutamento limitado</t>
  </si>
  <si>
    <t>Assessor de Registro de Pagamento e Pessoal</t>
  </si>
  <si>
    <t>Assessor do Fundo Municipal de Assistência Social - S. M. Assistência Social</t>
  </si>
  <si>
    <t>Lei nº 1799/2018</t>
  </si>
  <si>
    <t>Cria 3</t>
  </si>
  <si>
    <t>Assessor Especial do Gabinete do Prefeito - S. M. Governo</t>
  </si>
  <si>
    <t>Extingue 1 – Totaliza 2</t>
  </si>
  <si>
    <t>Assessor Fazendário - S. M. Fazenda</t>
  </si>
  <si>
    <t>Assessor Jurídico - Procuradoria Geral (EXTINTO)</t>
  </si>
  <si>
    <t>Extinto</t>
  </si>
  <si>
    <t>Cria 1; Revogada pela Lei 1786/18</t>
  </si>
  <si>
    <t>Cria +1; Totaliza 2; Revogadas pela Lei 1786/18</t>
  </si>
  <si>
    <t>Cria +1; Revogada pela Lei 1598/15; Revogada pela Lei 1786/18</t>
  </si>
  <si>
    <t>Extingue; Revogada pela Lei nº 2158/2024</t>
  </si>
  <si>
    <t>Assessor Pedagógico do Auditório Cultural Clarinda Damasceno</t>
  </si>
  <si>
    <t>Assessor Superior do Gabinete do Prefeito</t>
  </si>
  <si>
    <t>CC-1</t>
  </si>
  <si>
    <t>Extingue</t>
  </si>
  <si>
    <t>Assistente A da Coordenadoria Geral de Registro de Pagamento e Pessoal</t>
  </si>
  <si>
    <t>CC-4</t>
  </si>
  <si>
    <t>Assistente A da Coordenadoria Geral de RH</t>
  </si>
  <si>
    <t>Assistente A do Departamento de Registro de Pagamento e Pessoal (REVOGADO)</t>
  </si>
  <si>
    <t>Regulamenta; Cria 1; Revogada pela Lei nº 2163/2024</t>
  </si>
  <si>
    <t>Assistente A do Departamento de RH (REVOGADO)</t>
  </si>
  <si>
    <t>Assistente B da Coordenadoria Geral de RH</t>
  </si>
  <si>
    <t>CC-5</t>
  </si>
  <si>
    <t>Assistente B do Departamento de Registro de Pagamento e Pessoal (REVOGADO)</t>
  </si>
  <si>
    <t>Assistente B do Departamento de RH (REVOGADO)</t>
  </si>
  <si>
    <t>Assistente de Contratação - S. M. de Licitação, Compras e Contratos</t>
  </si>
  <si>
    <t>Cargo efetivo Ensino Médio</t>
  </si>
  <si>
    <t>Assistente de Encaminhamento do Expediente da Ouvidoria Geral</t>
  </si>
  <si>
    <t>Assistente Social</t>
  </si>
  <si>
    <t>Cria +2</t>
  </si>
  <si>
    <t>Aumenta para 5</t>
  </si>
  <si>
    <t>Cria +2 (CAPS); Totaliza 8</t>
  </si>
  <si>
    <t>Cria +4; Totaliza 11</t>
  </si>
  <si>
    <t>Cria +1; Totaliza 12</t>
  </si>
  <si>
    <t>Altera atribuições do cargo</t>
  </si>
  <si>
    <t>Cria +5</t>
  </si>
  <si>
    <t>Cria +3</t>
  </si>
  <si>
    <t>Regulamenta carga horária em 20 horas/semana</t>
  </si>
  <si>
    <t>Auditor</t>
  </si>
  <si>
    <t>Cria 3 (1 Unidade de Controle e Fiscalização de Atos de Pessoal; 1 Unidade de Controle e Fiscalização de Licitações, Contratos e Convênios; 1 Unidade de Controle e Fiscalização Patrimonial e de Almoxarifado)</t>
  </si>
  <si>
    <t>Cria +2 (Unidade de Controle e Fiscalização Patrimonial e de Almoxarifado)</t>
  </si>
  <si>
    <t>Cria +1 (Unidade de Controle e Fiscalização de Atos de Pessoal; Totaliza 2)</t>
  </si>
  <si>
    <t>Cria +4 (Unidade de Controle e Fiscalização de Licitações, Contratos e Convênios)</t>
  </si>
  <si>
    <t>Altera para Auditor Fiscal - Área Recursos Humanos, Auditor Fiscal - Área de Licitações, Contratos e Convênios, Auditor Fiscal - Área Patrimônio e Almoxarifado</t>
  </si>
  <si>
    <t>Auditor e Presidente do Controle Interno (revogado)</t>
  </si>
  <si>
    <t>Auditor Fiscal - Área Contábil</t>
  </si>
  <si>
    <t>Superior - Ciências Contábeis</t>
  </si>
  <si>
    <t>Cria 1 (Unidade de Controle e Fiscalização Contábil, Tributária, Orçamentária e Financeira)</t>
  </si>
  <si>
    <t>Cria +2 (Unidade de Controle e Fiscalização Contábil, Tributária, Orçamentária e Financeira)</t>
  </si>
  <si>
    <t>Alterado de Auditor Contábil para Auditor Fiscal - Área Contábil; 3 cargos</t>
  </si>
  <si>
    <t>Alterado de Auditor Contábil para Auditor Fiscal - Área Contábil</t>
  </si>
  <si>
    <t>Extingue 1; Totaliza 2</t>
  </si>
  <si>
    <t>Altera carga horária de 30h/semana para 20h/semana</t>
  </si>
  <si>
    <t>Auditor Fiscal - Área de Enfermagem</t>
  </si>
  <si>
    <t>Superior - Enfermagem; Especialista em Auditoria; registro no respectivo Conselho ou Órgão Fiscalizador do Exercício da Profissão</t>
  </si>
  <si>
    <t>Cria 1; Altera carga horária de 30h/semana para 20h/semana</t>
  </si>
  <si>
    <t>Auditor Fiscal - Área Fazendária</t>
  </si>
  <si>
    <t>Superior - Direito ou Contabilidade</t>
  </si>
  <si>
    <t>Cria 1 (Redistribuído de Auditor de Licitações, Contratos e Convênios)</t>
  </si>
  <si>
    <t>Altera carga horária de 30h/semana para 20h/semana; Dá atribuições</t>
  </si>
  <si>
    <t>Auditor Fiscal - Área Licitações, Contratos e Convênios</t>
  </si>
  <si>
    <t>Alterado de Auditor de Licitações, Contratos e Convênios para Auditor Fiscal - Área Licitações, Contratos e Convênios; 4 cargos</t>
  </si>
  <si>
    <t>Alterado de Auditor de Licitações, Contratos e Convênios Auditor Fiscal - Área Licitações, Contratos e Convênios</t>
  </si>
  <si>
    <t>Auditor Fiscal - Área Obras Públicas</t>
  </si>
  <si>
    <t>Superior - Engenharia Civil</t>
  </si>
  <si>
    <t>Cria 1 (Unidade de Controle e Fiscalização de Obras Públicas)</t>
  </si>
  <si>
    <t>Alterado de Auditor de Obras Públicas (Unidade de Controle e Fiscalização de Obras Públicas) para Auditor Fiscal - Área Obras Públicas; 1 cargo</t>
  </si>
  <si>
    <t>Alterado de Auditor de Obras Públicas para Auditor Fiscal - Área Obras Públicas</t>
  </si>
  <si>
    <t>Auditor Fiscal - Área Patrimônio e Almoxarifado</t>
  </si>
  <si>
    <t>Alterado de Auditor de Patrimônio e Almoxarifado para Auditor Fiscal - Área Patrimônio e Almoxarifado; 3 cargos</t>
  </si>
  <si>
    <t>Alterado de Auditor de Patrimônio e Almoxarifado para Auditor Fiscal - Área Patrimônio e Almoxarifado</t>
  </si>
  <si>
    <t>Auditor Fiscal - Área Recursos Humanos</t>
  </si>
  <si>
    <t>Alterado de Auditor de Recursos Humanos para Auditor Fiscal - Área Recursos Humanos; 2 cargos</t>
  </si>
  <si>
    <t>Alterado de Auditor de Recursos Humanos para Auditor Fiscal - Área Recursos Humanos</t>
  </si>
  <si>
    <t>Cria +1; Totaliza 3</t>
  </si>
  <si>
    <t>Auxiliar Administrativo - CAPPS</t>
  </si>
  <si>
    <t>Ensino Fundamental</t>
  </si>
  <si>
    <t>Aumenta para 6</t>
  </si>
  <si>
    <t>Cria +4; Totaliza 8</t>
  </si>
  <si>
    <t>Auxiliar de Administração</t>
  </si>
  <si>
    <t>Cria 30</t>
  </si>
  <si>
    <t>Aumenta para 35</t>
  </si>
  <si>
    <t>Totaliza 35</t>
  </si>
  <si>
    <t>Plano de carreira e vencimentos; Altera atribuições; Altera de P-15 para A-I</t>
  </si>
  <si>
    <t>Auxiliar de Administração - UTIL</t>
  </si>
  <si>
    <t>P-15</t>
  </si>
  <si>
    <t>Auxiliar de Arquivo</t>
  </si>
  <si>
    <t>Cria 2; Totaliza 2</t>
  </si>
  <si>
    <t>Plano de Carreira, Cargos e Remuneração; Dá atribuições; Altera símbolo de vencimento para A-I</t>
  </si>
  <si>
    <t>Auxiliar de Biblioteca</t>
  </si>
  <si>
    <t>Altera de Auxiliar de Biblioteca para Agente Administrativo ; Cria +3; Totaliza 7</t>
  </si>
  <si>
    <t>Retorna denominação de Agente Administrativo para Auxiliar de Biblioteca</t>
  </si>
  <si>
    <t>Plano de Carreira e Vencimentos; Altera de P-15 para A-I</t>
  </si>
  <si>
    <t>Auxiliar de Comunicação</t>
  </si>
  <si>
    <t>Totaliza 4</t>
  </si>
  <si>
    <t>Auxiliar de Contabilidade (Acho que não existe)</t>
  </si>
  <si>
    <t>Totaliza 2</t>
  </si>
  <si>
    <t>Auxiliar de Creche</t>
  </si>
  <si>
    <t>P-22</t>
  </si>
  <si>
    <t>Auxiliar de Enfermagem</t>
  </si>
  <si>
    <t>30 ou 40 (vide Lei 1864/19)</t>
  </si>
  <si>
    <t>Cria 22</t>
  </si>
  <si>
    <t>Diminui para 12</t>
  </si>
  <si>
    <t>Aumenta para 15</t>
  </si>
  <si>
    <t>Totaliza 15</t>
  </si>
  <si>
    <t>Cria +9</t>
  </si>
  <si>
    <t>Cria +3; Totaliza 27</t>
  </si>
  <si>
    <t>Extingue 4</t>
  </si>
  <si>
    <t>Altera carga horária para 30h/semana e Regime Especial para lotados nas UESF para 40h/semana</t>
  </si>
  <si>
    <t>Auxiliar de Laboratório</t>
  </si>
  <si>
    <t>Regulamenta carga horária em 30h/semana</t>
  </si>
  <si>
    <t>Auxiliar de Material</t>
  </si>
  <si>
    <t>Altera símbolo de vencimento para A-I; O cargo passa a integrar o quadro em extinção</t>
  </si>
  <si>
    <t>Auxiliar de Saúde</t>
  </si>
  <si>
    <t>Cria 10</t>
  </si>
  <si>
    <t>Aumenta para 12</t>
  </si>
  <si>
    <t>Totaliza 12</t>
  </si>
  <si>
    <t>Auxiliar em Saúde Bucal</t>
  </si>
  <si>
    <t>Ensino Fundamental, Curso de ASB e Registro no Conselho de Classe</t>
  </si>
  <si>
    <t>Altera de Auxiliar de Consultório Dentário para Auxiliar em Saúde Bucal</t>
  </si>
  <si>
    <t>Altera atribuições</t>
  </si>
  <si>
    <t>Fixa carga horária em 20h/semana</t>
  </si>
  <si>
    <t>Altera símbolo de vencimento para A-I; Dispõe sobre escolaridade</t>
  </si>
  <si>
    <t>Plano de Carreira e Vencimentos; Ratifica A-I (altera valor)</t>
  </si>
  <si>
    <t>Bibliotecário</t>
  </si>
  <si>
    <t>Biólogo</t>
  </si>
  <si>
    <t>Biomédico</t>
  </si>
  <si>
    <t>Cria +4</t>
  </si>
  <si>
    <t>Bioquímico</t>
  </si>
  <si>
    <t>Fixa em 3</t>
  </si>
  <si>
    <t>Totaliza 3</t>
  </si>
  <si>
    <t>Bombeiro Hidráulico</t>
  </si>
  <si>
    <t>Plano de Carreira, Cargos e Remuneração; Dá atribuições</t>
  </si>
  <si>
    <t>Calceteiro</t>
  </si>
  <si>
    <t>Cria 8</t>
  </si>
  <si>
    <t>Aumenta para 10</t>
  </si>
  <si>
    <t>Totaliza 10</t>
  </si>
  <si>
    <t>Cantineiro Escolar</t>
  </si>
  <si>
    <t>Diminui para 15</t>
  </si>
  <si>
    <t>Aumenta para 20</t>
  </si>
  <si>
    <t>Cria +8; Totaliza 28</t>
  </si>
  <si>
    <t>Cria +3; Totaliza 31</t>
  </si>
  <si>
    <t>Cria +3; Totaliza 34</t>
  </si>
  <si>
    <t>Cria +3; Totaliza 37</t>
  </si>
  <si>
    <t>Cria +10</t>
  </si>
  <si>
    <t>Mantém 10 vagas criadas pela Lei 1604/15</t>
  </si>
  <si>
    <t>Fixa em 47</t>
  </si>
  <si>
    <t>Fixa carga horária em 30h/semana</t>
  </si>
  <si>
    <t>Plano de Carreira e Vencimentos; Altera atribuições; Altera de P-03 para A-I</t>
  </si>
  <si>
    <t>Carpinteiro</t>
  </si>
  <si>
    <t>Chefe da Divisão de Almoxarifado da Secretaria Municipal de Administração</t>
  </si>
  <si>
    <t>Altera para CC-2</t>
  </si>
  <si>
    <t>Chefe da Divisão de Assistência Social</t>
  </si>
  <si>
    <t>Chefe da Divisão de Contabilidade do Fundo Municipal de Assistência Social</t>
  </si>
  <si>
    <t>Altera para CC-3</t>
  </si>
  <si>
    <t>Chefe da Divisão de Coordenação Administrativa da Secretaria - S. M. Defesa Civil e Segurança Pública</t>
  </si>
  <si>
    <t>Altera de CC-4 para CC-3</t>
  </si>
  <si>
    <t>Chefe da Divisão de Laboratório da Secretaria Municipal de Saúde</t>
  </si>
  <si>
    <t>Chefe da Divisão de Matadouro Municipal - extinto</t>
  </si>
  <si>
    <t>Chefe da Divisão de Obras e Posturas</t>
  </si>
  <si>
    <t>Chefe da Divisão de Odontologia da SMS</t>
  </si>
  <si>
    <t>Chefe da Divisão de Planejamento, Projetos e Urbanismo (extinto)</t>
  </si>
  <si>
    <t>Chefe da Seção de Arrecadação</t>
  </si>
  <si>
    <t xml:space="preserve">Cria </t>
  </si>
  <si>
    <t>Anteriormente Chefe da Seção de Arrecadação e Dívida Ativa</t>
  </si>
  <si>
    <t>Chefe da Seção de Arrecadação e Dívida Ativa (Extinto)</t>
  </si>
  <si>
    <t>Altera de Chefe de Seção de Registros Contábeis para Chefe de Seção de Arrecadação e Dívida Ativa</t>
  </si>
  <si>
    <t>Cita</t>
  </si>
  <si>
    <t>Revogado</t>
  </si>
  <si>
    <t>Aparentemente divide em Chefe da Seção de Arrecadação e Chefe da Seção de Dívida Ativa</t>
  </si>
  <si>
    <t>Chefe da Seção de Cadastro, Controle e Fiscalização</t>
  </si>
  <si>
    <t>Altera de CC-5 para CC-3</t>
  </si>
  <si>
    <t>Chefe da Seção de Desenvolvimento Agropecuário</t>
  </si>
  <si>
    <t>Chefe da Seção de Dívida Ativa</t>
  </si>
  <si>
    <t>Chefe da Seção de Educação e Seção de Coleta, Controle e Análise Estatística do Trânsito</t>
  </si>
  <si>
    <t>Chefe da Seção de Fiscalização do ISS</t>
  </si>
  <si>
    <t>Chefe da Seção de Operações, Ensino e Integração Comunitária</t>
  </si>
  <si>
    <t>Chefe da Seção de Patrimônio da Secretaria Municipal de Saúde</t>
  </si>
  <si>
    <t>Chefe da Seção de Planejamento, Engenharia e Sinalização Viária e Seção de Fiscalização e Operações de Trânsito</t>
  </si>
  <si>
    <t>Chefe da Seção de Preservação e Controle do Meio Ambiente</t>
  </si>
  <si>
    <t>Chefe da Seção de Recursos Humanos (Extinto)</t>
  </si>
  <si>
    <t>Chefe da Seção de Tesouraria do Fundo Municipal de Assistência Social</t>
  </si>
  <si>
    <t>Chefe da Seção de Tesouraria do Fundo Municipal dos Direitos da Criança e do Adolescente</t>
  </si>
  <si>
    <t>Altera para CC-4</t>
  </si>
  <si>
    <t>Chefe da Seção Técnica, de Planejamento e Fiscalização</t>
  </si>
  <si>
    <t xml:space="preserve">Chefe de Divisão </t>
  </si>
  <si>
    <t>Fixa em 14</t>
  </si>
  <si>
    <t>Chefe de Divisão da Guarda Municipal Ambiental</t>
  </si>
  <si>
    <t>Chefe de Divisão de Apoio Técnico, Didático e Pedagógico da SME - S. M. Educação, Esporte e Lazer</t>
  </si>
  <si>
    <t>Altera de Chefe da Seção de Apoio Técnico, Didático e Pedagógico da Secretaria Municipal de Educação, para Chefe de Divisão de Apoio Técnico, Didático e Pedagógico da SME</t>
  </si>
  <si>
    <t>Chefe de Divisão de Assistência Psicossocial - S. M. Saúde</t>
  </si>
  <si>
    <t>Chefe de Divisão de Contabilidade</t>
  </si>
  <si>
    <t>Chefe de Divisão de Contabilidade - S. M. Saúde</t>
  </si>
  <si>
    <t>Extingue (Porém, chama de Chefe da Divisão de Contabilidade do Fundo Municipal de Saúde)</t>
  </si>
  <si>
    <t>Chefe de Divisão de Estratégia de Saúde da Família - S. M. Saúde</t>
  </si>
  <si>
    <t>Altera de Chefe de Divisão Atendimento Emergencial - S. M. Saúde para Chefe de Divisão de Estratégia de Saúde da Família - S. M. Saúde</t>
  </si>
  <si>
    <t>Chefe de Divisão de Patrimônio e Tombamento de Imóveis</t>
  </si>
  <si>
    <t>Chefe de Divisão de Recursos Humanos - Extinto</t>
  </si>
  <si>
    <t>Cria 1; Revogada pela Lei nº 2163/2024</t>
  </si>
  <si>
    <t>Chefe de Divisão de RH, Materiais e Financeiro da SME - Extinto</t>
  </si>
  <si>
    <t>Alterado de Chefe da Seção de RH, Materiais e Financeiro da SME, para Chefe de Divisão de RH, Materiais e Financeiro da SME</t>
  </si>
  <si>
    <t>Chefe de Divisão de Tesouraria (Ver leis)</t>
  </si>
  <si>
    <t>Chefe de Divisão de Tesouraria do FUNEMI</t>
  </si>
  <si>
    <t>Chefe de Divisão do Centro de Atendimento à Saúde da Mulher</t>
  </si>
  <si>
    <t>Chefe de Divisão do Serviço de Inspeção Municipal de Produtos de Origem Animal - S. M. Desenvolvimento Agropecuário -  Extinto</t>
  </si>
  <si>
    <t>Chefe de Infraestrutura e Desenvolvimento Tecnológico</t>
  </si>
  <si>
    <t>Chefe de Seção</t>
  </si>
  <si>
    <t>Cria 16</t>
  </si>
  <si>
    <t>Aumenta para 18</t>
  </si>
  <si>
    <t>Aumenta para 19</t>
  </si>
  <si>
    <t>Fixa em 26</t>
  </si>
  <si>
    <t>Extingue 3</t>
  </si>
  <si>
    <t>Chefe de Seção de Administração de Recursos da Saúde - Extinto</t>
  </si>
  <si>
    <t>Chefe de Seção de Licitação - Extinto</t>
  </si>
  <si>
    <t>Chefe de Seção de Patrimônio da Secretaria Municipal de Administração</t>
  </si>
  <si>
    <t>Regulamenta (art. 63, Lei 798/99)</t>
  </si>
  <si>
    <t>Altera de CC-3 para CC-2</t>
  </si>
  <si>
    <t>Chefe de Seção de Projetos Especiais e Assistência ao Educando da SMECEL</t>
  </si>
  <si>
    <t>Chefe de Seção de Tesouraria - Extinto</t>
  </si>
  <si>
    <t>Comandante da Guarda Civil de Miracema</t>
  </si>
  <si>
    <t>Limitado - Guarda Municipal efetivo</t>
  </si>
  <si>
    <t>Conselheiro Tutelar</t>
  </si>
  <si>
    <t>Eletivo</t>
  </si>
  <si>
    <t>CC-2 (mandato); CC-3 tampão)</t>
  </si>
  <si>
    <t>Fixa 5 titulares e 5 suplentes</t>
  </si>
  <si>
    <t>Altera de CC-5 para CC-4 (tampão)</t>
  </si>
  <si>
    <t>Altera de CC-4 para CC-3 (tampão)</t>
  </si>
  <si>
    <t>Altera para CC-2 (mandato) e CC-3 (tampão)</t>
  </si>
  <si>
    <t>Contador</t>
  </si>
  <si>
    <t>Plano de Carreira e Vencimentos; Altera de P-34 para A-I; Fixa carga horária</t>
  </si>
  <si>
    <t>Cria +1 (lotação na Secretaria Municipal de Administração), totaliza 2</t>
  </si>
  <si>
    <t>Contínuo-Servente</t>
  </si>
  <si>
    <t>Aumenta para 8</t>
  </si>
  <si>
    <t>Totaliza 8</t>
  </si>
  <si>
    <t>Controlador Geral do Município</t>
  </si>
  <si>
    <t>Coordenador da Assistência Farmacêutica da Secretaria Municipal de Saúde</t>
  </si>
  <si>
    <t>Superior - Farmácia; Registro no órgão da classe</t>
  </si>
  <si>
    <t>Coordenador da Casa Lar - S. M. Assistência Social</t>
  </si>
  <si>
    <t>Coordenador de Controle de Vetores - S. M. Saúde</t>
  </si>
  <si>
    <t>COORDENADOR DE DIREITOS HUMANOS E IGUALDADE RACIAL</t>
  </si>
  <si>
    <t>Cria 1 cargo</t>
  </si>
  <si>
    <t>Coordenador de Recursos Humanos</t>
  </si>
  <si>
    <t>Coordenador de Registro de Pagamento e Pessoal</t>
  </si>
  <si>
    <t>Coordenador de Saúde Mental do Município - S. M. Saúde</t>
  </si>
  <si>
    <t>Coordenador de Políticas Públicas para Juventude</t>
  </si>
  <si>
    <t>2287/26</t>
  </si>
  <si>
    <t>Coordenador do Cadastro Único - S. M. Desenvolvimento Social</t>
  </si>
  <si>
    <t>Coordenador do Centro de Fisioterapia - S. M. Saúde</t>
  </si>
  <si>
    <t>Coordenador Geral de Esportes, Projetos e Programas</t>
  </si>
  <si>
    <t>Corregedor e Presidente do Órgão Correicional - Extinto</t>
  </si>
  <si>
    <t>Corregedor Geral do Município</t>
  </si>
  <si>
    <t>Superior - Direito; Registro OAB</t>
  </si>
  <si>
    <t>SS (60% CC-1)</t>
  </si>
  <si>
    <t>Coveiro</t>
  </si>
  <si>
    <t>Aumenta para 4</t>
  </si>
  <si>
    <t>Cozinheiro</t>
  </si>
  <si>
    <t>Cria 2; Totaliza 37</t>
  </si>
  <si>
    <t>Cuidador Social</t>
  </si>
  <si>
    <t>Dentista Auditor - CAPPS</t>
  </si>
  <si>
    <t>Cria cargo</t>
  </si>
  <si>
    <t>Diretor Adjunto - Extinto</t>
  </si>
  <si>
    <t>Magistério</t>
  </si>
  <si>
    <t>CC-6</t>
  </si>
  <si>
    <t>Diretor Clínico do PU - S. M. Saúde</t>
  </si>
  <si>
    <t>Vide escolaridade de Médico</t>
  </si>
  <si>
    <t>Diretor de Análise de Processos de Obras e Serviços de Engenharia - S. M. Licitação, Compras e Contratos*</t>
  </si>
  <si>
    <t>Diretor de Análise de Processos de Obras e Serviços de Engenharia - S. M. Licitação, Compras e Contratos**</t>
  </si>
  <si>
    <t>Nível Superior em Engenharia
ou Arquitetura</t>
  </si>
  <si>
    <t>Diretor de Assistência ao Idoso  - Extinto</t>
  </si>
  <si>
    <t>Diretor de Biblioteca Municipal</t>
  </si>
  <si>
    <t>Superior - Bibliotecário</t>
  </si>
  <si>
    <t>Diretor de Compras - S. M. Licitação, Compras e Contratos</t>
  </si>
  <si>
    <t>Diretor de Contratação - S. M. de Licitação, Compras e Contratos</t>
  </si>
  <si>
    <t>Diretor de Contratos - S. M. de Licitação, Compras e Contratos</t>
  </si>
  <si>
    <t>Diretor de Departamento</t>
  </si>
  <si>
    <t>Fixa em 11</t>
  </si>
  <si>
    <t>Diretor de Departamento de Administração de Recursos da Saúde - Extinto</t>
  </si>
  <si>
    <t>Extingue (Porém, com nome de Diretor do Departamento de Recursos da Saúde)</t>
  </si>
  <si>
    <t>Diretor de Departamento de Agropecuária</t>
  </si>
  <si>
    <t>Diretor de Departamento de Assistência Social</t>
  </si>
  <si>
    <t>Diretor de Departamento de Auditoria, Controle, Fiscalização e Orientação dos Recursos do FUNDEB e Programas de Educação - Alterado para Assessor da CGM</t>
  </si>
  <si>
    <t>Limitado - Quadro de Auditores Efetivos da CGM</t>
  </si>
  <si>
    <t>Altera para Assessor da Controladoria Geral</t>
  </si>
  <si>
    <t>Diretor de Departamento de Educação</t>
  </si>
  <si>
    <t>Diretor de Departamento de Engenharia Rural - Revogada</t>
  </si>
  <si>
    <t>Diretor de Departamento de Investigação Correicional</t>
  </si>
  <si>
    <t>Diretor de Departamento de Pesquisas e Estudos Literários - Extinto</t>
  </si>
  <si>
    <t>Diretor de Departamento de Recursos Humanos - Extinto</t>
  </si>
  <si>
    <t>Regulamenta; Exigência de nível superior de escolaridade; Revogada pela Lei nº 2163/2024</t>
  </si>
  <si>
    <t>Diretor de Departamento de Registro de Pagamento e Pessoal - Extinto</t>
  </si>
  <si>
    <t>Diretor de Departamento de Tesouraria - S. M. Saúde - Extinto</t>
  </si>
  <si>
    <t>Transforma de Chefe de Seção de Tesouraria para Diretor de Departamento de Tesouraria</t>
  </si>
  <si>
    <t>Extingue (Porém, chama de Diretor de Tesouraria do FMS)</t>
  </si>
  <si>
    <t>Diretor de Escola A - Extinto</t>
  </si>
  <si>
    <t>Diretor de Escola B - Extinto</t>
  </si>
  <si>
    <t>Cria +4; Totaliza 7</t>
  </si>
  <si>
    <t>Diretor de Escola C - Extinto</t>
  </si>
  <si>
    <t>Cria 12</t>
  </si>
  <si>
    <t>Fixa em 2</t>
  </si>
  <si>
    <t>Fixa em 12</t>
  </si>
  <si>
    <t>Diretor de Escola de Educação Básica - Extinto</t>
  </si>
  <si>
    <t>Institui 10</t>
  </si>
  <si>
    <t>Diretor de Escola de Ensino Fundamental</t>
  </si>
  <si>
    <t>Institui 9</t>
  </si>
  <si>
    <t>Diretor de Licitação - Revogada</t>
  </si>
  <si>
    <t>Altera de Diretor do Departamento de Licitação, Contratos e Compras para Diretor de Licitação; Revogada pela Lei nº 2158/2024</t>
  </si>
  <si>
    <t xml:space="preserve">Diretor de Posto de Saúde A (EX-01) </t>
  </si>
  <si>
    <t>Aumenta para 3</t>
  </si>
  <si>
    <t xml:space="preserve">Diretor de Posto de Saúde A (EX-04) </t>
  </si>
  <si>
    <t>Fixa em 1</t>
  </si>
  <si>
    <t xml:space="preserve">Diretor de Posto de Saúde A (EX-05) </t>
  </si>
  <si>
    <t>Fixa em 7</t>
  </si>
  <si>
    <t>Diretor de Posto de Saúde A (EX-06)</t>
  </si>
  <si>
    <t>Fixa em 9</t>
  </si>
  <si>
    <t>Extingue 6</t>
  </si>
  <si>
    <t>Extingue 7</t>
  </si>
  <si>
    <t xml:space="preserve">Diretor de Posto de Saúde B (EX-02) </t>
  </si>
  <si>
    <t>Fixa em 6</t>
  </si>
  <si>
    <t>Extingue 5</t>
  </si>
  <si>
    <t>Diretor de Previdência - PREVI</t>
  </si>
  <si>
    <t>Conhecimentos em administração pública e experiência mínima de 02 (dois) anos na área previdenciária</t>
  </si>
  <si>
    <t>Diretor do Centro de Convivência do Idoso</t>
  </si>
  <si>
    <t>Alterado de CC-6 para CC-4</t>
  </si>
  <si>
    <t>Alterado de CC-4 para CC-2</t>
  </si>
  <si>
    <t>Diretor do Departamento de Auditoria, Controle, Orientação e Acompanhamento do SIGFIS e Prestações de Contas - Altera para Assessor CGM</t>
  </si>
  <si>
    <t>Superior + Registro no Conselho Regional</t>
  </si>
  <si>
    <t>Diretor do Departamento de Cultura</t>
  </si>
  <si>
    <t>Diretor do Departamento de Defesa Civil - Revogado</t>
  </si>
  <si>
    <t>Cria 1; Revogada pela Lei 1664/16</t>
  </si>
  <si>
    <t>Diretor do Departamento de Esporte e Lazer</t>
  </si>
  <si>
    <t>Diretor do Departamento de Fiscalização, Vigilância, Controle e Coordenação</t>
  </si>
  <si>
    <t>Diretor do Departamento de Gestão de Controle do CAUC-SIAFI</t>
  </si>
  <si>
    <t>Diretor do Departamento de Ordem Pública e Comando da Guarda Civil Municipal - Extinto</t>
  </si>
  <si>
    <t>Diretor do Departamento de Preservação e Controle Ambiental</t>
  </si>
  <si>
    <t>Superior - Área afim</t>
  </si>
  <si>
    <t>Diretor do Departamento de Tecnologia da Informação</t>
  </si>
  <si>
    <t>Transforma de Diretor de Departamento de Informática, Normas e Procedimentos para Diretor do Departamento de Tecnologia da Informação</t>
  </si>
  <si>
    <t>Diretor do Departamento de Tesouraria da Secretaria Municipal de Fazenda</t>
  </si>
  <si>
    <t>Diretor do Departamento de Trânsito</t>
  </si>
  <si>
    <t>Diretor do Departamento Técnico Jurídico - Revogado</t>
  </si>
  <si>
    <t>Diretor do PU - S. M. Saúde</t>
  </si>
  <si>
    <t>Diretor Executivo e Financeiro - UTIL - Extinto</t>
  </si>
  <si>
    <t>Diretor Operacional - UTIL - Extinto</t>
  </si>
  <si>
    <t>Diretor Operacional da Secretaria Municipal de Educação</t>
  </si>
  <si>
    <t>Técnico na Área de Informática</t>
  </si>
  <si>
    <t>Altera escolaridade para nível técnico na área de informática</t>
  </si>
  <si>
    <t>Altera de Diretor do Departamento de Tecnologia e Sistemas de Apoio para Diretor Operacional da Secretaria Municipal de Educação</t>
  </si>
  <si>
    <t>Diretor Operacional de Departamento - Sec. Mun. De Obras, Urbanismo e Transporte</t>
  </si>
  <si>
    <t>Diretor Técnico Jurídico da Secretaria de Licitação, Compras e Contratos - Revogada</t>
  </si>
  <si>
    <t>Economista</t>
  </si>
  <si>
    <t>J-I</t>
  </si>
  <si>
    <t>Plano de Carreira, Cargos e Remuneração; Altera símbolo de vencimento para J-I</t>
  </si>
  <si>
    <t>Fixa vencimentos; Estabelece adicional de qualificação</t>
  </si>
  <si>
    <t>Eletricista</t>
  </si>
  <si>
    <t>Encarregado de Serviço</t>
  </si>
  <si>
    <t>Aumenta para 7</t>
  </si>
  <si>
    <t>Encarregado de Serviço - UTIL - Extinto</t>
  </si>
  <si>
    <t>Encarregado de Serviços (EX-01)</t>
  </si>
  <si>
    <t>Encarregado de Serviços de Limpeza e Conservação de Estradas Vicinais, da Secretaria Municipal de Desenvolvimento Agropecuário</t>
  </si>
  <si>
    <t>Encarregado de Turma</t>
  </si>
  <si>
    <t>Aumenta para 9</t>
  </si>
  <si>
    <t>Vincula 1 Encarregado de Turma à S. M. Meio Ambiente</t>
  </si>
  <si>
    <t>Encarregado de Turma - UTIL - Extinto</t>
  </si>
  <si>
    <t>Encarregado Geral de Obras e Serviços Urbanos - S. M. Obras, Urbanismo e Transportes</t>
  </si>
  <si>
    <t>Enfermeiro (ou Enfermeiro ESF)</t>
  </si>
  <si>
    <t>30 (Enfermeiro) ou 40 (Enfermeiro ESF) (Vide Lei 1864/19)</t>
  </si>
  <si>
    <t>Cria +3 (Pronto Socorro); Totaliza 10</t>
  </si>
  <si>
    <t>Cria +2; Totaliza 12</t>
  </si>
  <si>
    <t>Cria +5; Totaliza 17</t>
  </si>
  <si>
    <t>Plano de Carreira e Vencimentos; Altera atribuições; Altera de P-34 para A-I</t>
  </si>
  <si>
    <t>Engenheiro Agrônomo</t>
  </si>
  <si>
    <t>Engenheiro Ambiental</t>
  </si>
  <si>
    <t>Engenheiro Civil</t>
  </si>
  <si>
    <t>Aumenta para 2</t>
  </si>
  <si>
    <t>Cria +1 (Sec. Mun. Defesa Civil e Segurança Pública)</t>
  </si>
  <si>
    <t>Engenheiro de Segurança do Trabalho</t>
  </si>
  <si>
    <t>Engenheiro Florestal</t>
  </si>
  <si>
    <t>Engenheiro Mecânico</t>
  </si>
  <si>
    <t>Engenheiro Sanitarista</t>
  </si>
  <si>
    <t>Dá atribuições</t>
  </si>
  <si>
    <t>Escriturário</t>
  </si>
  <si>
    <t>Farmacêutico</t>
  </si>
  <si>
    <t>Fiscal Ambiental</t>
  </si>
  <si>
    <t>Superior - Bacharel em Biologia, Engenharia Ambiental ou Engenharia Florestal</t>
  </si>
  <si>
    <t>Fiscal de Obras e Posturas</t>
  </si>
  <si>
    <t>Plano de Carreira, Cargos e Remuneração; Altera escolaridade de Nível Médio para Superior; Dá atribuições;</t>
  </si>
  <si>
    <t>Fiscal de Tributos</t>
  </si>
  <si>
    <t>Altera para Nível Superior; Altera de P-22 para A-I; Totaliza 9; Fixa a carga horária em 40h/semana</t>
  </si>
  <si>
    <t>Fisioterapeuta</t>
  </si>
  <si>
    <t>Fonoaudiólogo</t>
  </si>
  <si>
    <t>Gari</t>
  </si>
  <si>
    <t>Cria 70</t>
  </si>
  <si>
    <t>Totaliza 70 (Ocupantes: 5 CLT, 44 Estatutários)</t>
  </si>
  <si>
    <t>Gari - UTIL</t>
  </si>
  <si>
    <t>Plano de Carreira e Vencimentos; Altera atribuições; Altera de P-01 para A-I</t>
  </si>
  <si>
    <t>Guarda Municipal</t>
  </si>
  <si>
    <t>Alterado de Ensino Fundamental Incompleto para Ensino Médio (Lei 1664/16)</t>
  </si>
  <si>
    <t>Aumenta para 13</t>
  </si>
  <si>
    <t>Totaliza 15 (Ocupantes: 0 CLT, 14 Estatutários)</t>
  </si>
  <si>
    <t>Cria +10; Totaliza 30</t>
  </si>
  <si>
    <t>Cria +2; Totaliza 40</t>
  </si>
  <si>
    <t>Altera de P-3 para P-22; Mantém 40</t>
  </si>
  <si>
    <t>Ratifica 40 vagas; Cria +4 - 1º classe; Cria +2 - 2º classe</t>
  </si>
  <si>
    <t>Altera Padrão I para R$ 1.900,00; Altera de P-22 para P-I</t>
  </si>
  <si>
    <t>Guarda Partrimonial</t>
  </si>
  <si>
    <t>Altera de Vigia para Guarda Patrimonial; Cria +4 (2ª classe); Passa a ser do quadro em extinção</t>
  </si>
  <si>
    <t>Altera Padrão I para R$ 1.900,00; Altera de P-02 para P-I</t>
  </si>
  <si>
    <t>Inspetor - Patrimônio e Segurança - Revogada</t>
  </si>
  <si>
    <t>Inspetor - Trânsito  - Extinto - Revogada</t>
  </si>
  <si>
    <t>Inspetor de Patrimônio e Ordem Pública</t>
  </si>
  <si>
    <t>Inspetor de Trânsito - Revogada</t>
  </si>
  <si>
    <t>Cria 1; Revogado pela Lei 1749/17</t>
  </si>
  <si>
    <t>Revoga 1 cargo criado pela Lei 1664/16</t>
  </si>
  <si>
    <t>Instrutor/Oficineiro</t>
  </si>
  <si>
    <t>Cria 5; Totaliza 5</t>
  </si>
  <si>
    <t>Plano de Carreira e Vencimentos; Altera atribuições; Altera de P-22 para A-I</t>
  </si>
  <si>
    <t>Jardineiro</t>
  </si>
  <si>
    <t>Cria +1; Totaliza 13</t>
  </si>
  <si>
    <t>Cria +3; Totaliza 16</t>
  </si>
  <si>
    <t>Marceneiro</t>
  </si>
  <si>
    <t>P-14</t>
  </si>
  <si>
    <t>Massoterapeuta</t>
  </si>
  <si>
    <t>Cria 2; Totaliza 1</t>
  </si>
  <si>
    <t>Plano de Carreira, Cargos e Remuneração; Dá atribuições; Altera de P-22 para A-I</t>
  </si>
  <si>
    <t>Mecânico de Autos</t>
  </si>
  <si>
    <t>Plano de Carreira, Cargos e Remuneração</t>
  </si>
  <si>
    <t>Mediador Escolar</t>
  </si>
  <si>
    <t>Ensino Médio com formação de professores</t>
  </si>
  <si>
    <t>Médico (Clínico Geral)</t>
  </si>
  <si>
    <t>Cria 15</t>
  </si>
  <si>
    <t>Aumenta para 16</t>
  </si>
  <si>
    <t>Aumenta para 25</t>
  </si>
  <si>
    <t>Totaliza 16 (Ocupantes: 1 CLT, 15 Estatutários)</t>
  </si>
  <si>
    <t>Médico Auditor - CAPPS</t>
  </si>
  <si>
    <t>Médico Cardiologista Plantonista</t>
  </si>
  <si>
    <t>Médico Cirurgião</t>
  </si>
  <si>
    <t>Médico Dermatologista</t>
  </si>
  <si>
    <t>Médico Ginecologista/Obstetra</t>
  </si>
  <si>
    <t>Médico Neurologista</t>
  </si>
  <si>
    <t>Médico Ortopedista Plantonista</t>
  </si>
  <si>
    <t>Médico Pedriatra</t>
  </si>
  <si>
    <t xml:space="preserve">Médico Perito - CAPPS </t>
  </si>
  <si>
    <t>Médico Plantonista</t>
  </si>
  <si>
    <t>Médico Psiquiatra</t>
  </si>
  <si>
    <t>Médico Radiologista Plantonista</t>
  </si>
  <si>
    <t>Médico Urologista</t>
  </si>
  <si>
    <t>Médico Veterinário</t>
  </si>
  <si>
    <t>Institui carga horária de 25h/semana</t>
  </si>
  <si>
    <t>Plano de Carreira e Vencimentos; Altera de P-34 para A-I</t>
  </si>
  <si>
    <t>Monitor de Transporte Escolar</t>
  </si>
  <si>
    <t>Motorista</t>
  </si>
  <si>
    <t>Cria 26</t>
  </si>
  <si>
    <t>Aumenta para 30</t>
  </si>
  <si>
    <t>Aumenta para 36</t>
  </si>
  <si>
    <t>Aumenta para 40</t>
  </si>
  <si>
    <t>Aumenta para 45</t>
  </si>
  <si>
    <t>Totaliza 45 (Ocupantes: 2 CLT, 39 Estatutários)</t>
  </si>
  <si>
    <t>Ratifica 4 cargos vagos da Sec. Mun. De Tranportes e Serviços Urbanos</t>
  </si>
  <si>
    <t>Motorista - UTIL</t>
  </si>
  <si>
    <t>Motorista de Ambulância</t>
  </si>
  <si>
    <t>Motorista do Gabinete (Prefeito) - Extinto</t>
  </si>
  <si>
    <t>Museólogo</t>
  </si>
  <si>
    <t>Nutricionista</t>
  </si>
  <si>
    <t>Cria +1 (Sec. Mun. Educação); Totaliza 1</t>
  </si>
  <si>
    <t>Cria +1 (Sec. Mun. Educação); Lei 1617/15 altera para +2 (Sec. Mun. Educação)</t>
  </si>
  <si>
    <t>Altera Lei 1604/15: cria +2 (Sec. Mun. Educação) ao invés de +1</t>
  </si>
  <si>
    <t>Estabelece carga horária em 20h/semana</t>
  </si>
  <si>
    <t>Odontólogo</t>
  </si>
  <si>
    <t>Totaliza 12 (Ocupantes: 1 CLT, 11 Estatutários)</t>
  </si>
  <si>
    <t>Cria +1; Totaliza 14</t>
  </si>
  <si>
    <t>Operador de Máquinas Pesadas</t>
  </si>
  <si>
    <t>Ratifica 2; Mantém 15</t>
  </si>
  <si>
    <t>Cria +1; Totaliza 16</t>
  </si>
  <si>
    <t>Plano de Carreira e Vencimentos; Altera de P-18 para A-I</t>
  </si>
  <si>
    <t>Operador de Máquinas Pesadas - UTIL (CLT)</t>
  </si>
  <si>
    <t>P-18</t>
  </si>
  <si>
    <t>Ouvidor Geral</t>
  </si>
  <si>
    <t>Pedagogo</t>
  </si>
  <si>
    <t>Alterado de Especialista em Educação para Pedagogo; Cria 2; Totaliza 12</t>
  </si>
  <si>
    <t>Cria +1 (Revogada pela Lei 1617/15)</t>
  </si>
  <si>
    <t>Revoga 1 vaga criada pela Lei 1604/15</t>
  </si>
  <si>
    <t>Fixa em 18</t>
  </si>
  <si>
    <t>Pedreiro</t>
  </si>
  <si>
    <t>Totaliza 20</t>
  </si>
  <si>
    <t>Pintor</t>
  </si>
  <si>
    <t>Presidente - PREVI</t>
  </si>
  <si>
    <t>Restrito (art. 32, § 2º). Amplo (Anexo I)</t>
  </si>
  <si>
    <t>Procurador do Município</t>
  </si>
  <si>
    <t>Cria 3; Totaliza 3</t>
  </si>
  <si>
    <t>Altera vencimento inicial para R$ 3500,00</t>
  </si>
  <si>
    <t>Procurador Geral do Município</t>
  </si>
  <si>
    <t>Professor</t>
  </si>
  <si>
    <t>Professor Magistério</t>
  </si>
  <si>
    <t>Cria 265</t>
  </si>
  <si>
    <t>Aumenta para 300</t>
  </si>
  <si>
    <t>Aumenta para 320</t>
  </si>
  <si>
    <t>Aumenta para 350</t>
  </si>
  <si>
    <t>Divide em categorias</t>
  </si>
  <si>
    <t>Professor Administrador Educacional</t>
  </si>
  <si>
    <t>B-2</t>
  </si>
  <si>
    <t>Professor de Educação Especial</t>
  </si>
  <si>
    <t>Mantém 1 vaga criada pela Lei 1604/15</t>
  </si>
  <si>
    <t>Professor de Música</t>
  </si>
  <si>
    <t>Cria +6; Totaliza 8</t>
  </si>
  <si>
    <t>Fixa em 8</t>
  </si>
  <si>
    <t>Fixa em 8; Altera de Professor Músico Instrutor para Professor de Música</t>
  </si>
  <si>
    <t>Professor Ensino Fundamental - 2º Segmento</t>
  </si>
  <si>
    <t>Professor I e II</t>
  </si>
  <si>
    <t>Professor II</t>
  </si>
  <si>
    <t>Fixa em 175</t>
  </si>
  <si>
    <t>Fixa em 161</t>
  </si>
  <si>
    <t>Fixa em 161; Altera de Professor II - Educação Infantil para Professor II</t>
  </si>
  <si>
    <t>Fixa em 160</t>
  </si>
  <si>
    <t>Transforma 1 cargo de Professor de Educação Infantil para Secretário de Escola</t>
  </si>
  <si>
    <t>Fixa em 160; Altera de Professor I - Ensino Fundamental 1º Segmento para Professor II</t>
  </si>
  <si>
    <t>Professor III - 5ª a 8ª séries</t>
  </si>
  <si>
    <t>Cria 51; Totaliza 51</t>
  </si>
  <si>
    <t>Professor III - Artes</t>
  </si>
  <si>
    <t>Fixa em 6; Altera denominaçao de Professor III - E. F. 2º Segmento - Artes, para Professor III - Artes</t>
  </si>
  <si>
    <t>Professor III - Ciências</t>
  </si>
  <si>
    <t>Fixa em 8; Altera denominaçao de Professor III - E. F. 2º Segmento -  Ciências, para Professor III - Ciências</t>
  </si>
  <si>
    <t>Professor III - Educação Física</t>
  </si>
  <si>
    <t>Fixa em 6; Altera denominaçao de Professor III - E. F. 2º Segmento para Professor III - Educação Física</t>
  </si>
  <si>
    <t>Professor III - Geografia</t>
  </si>
  <si>
    <t>Fixa em 8; Altera denominaçao de Professor III - E. F. 2º Segmento - Geografia, para Professor III - Geografia</t>
  </si>
  <si>
    <t>Professor III - História</t>
  </si>
  <si>
    <t>Fixa em 8; Altera denominaçao de Professor III - E. F. 2º Segmento - História, para Professor III - História</t>
  </si>
  <si>
    <t>Professor III - Inglês</t>
  </si>
  <si>
    <t>Cria 4 (Revogadas pela Lei 1617/15)</t>
  </si>
  <si>
    <t>Revoga 4 vagas criadas pela Lei 1604/15</t>
  </si>
  <si>
    <t>Altera de A-1 para B-2; Fixa em 6</t>
  </si>
  <si>
    <t>Fixa em 6; Altera denominaçao de Professor III - E. F. 2º Segmento - Inglês, para Professor III - Inglês</t>
  </si>
  <si>
    <t>Professor III - Língua Portuguesa</t>
  </si>
  <si>
    <t>Cria 1 (Revogada pela Lei 1617/15)</t>
  </si>
  <si>
    <t>Altera de A-1 para B-2; Fixa em 19</t>
  </si>
  <si>
    <t>Fixa em 19; Altera denominaçao de Professor III - E. F. 2º Segmento - Língua Portuguesa, para Professor III - Língua Portuguesa</t>
  </si>
  <si>
    <t>Professor III - Matemática</t>
  </si>
  <si>
    <t>Cria 2 (Revogadas pela Lei 1617/15)</t>
  </si>
  <si>
    <t>Revoga 2 vagas criadas pela Lei 1604/15</t>
  </si>
  <si>
    <t>Fixa em 19; Altera denominaçao de Professor III - E. F. 2º Segmento - Matemática, para Professor III - Matemática</t>
  </si>
  <si>
    <t>Professor Inspetor Escolar</t>
  </si>
  <si>
    <t>Professor Orientador Educacional</t>
  </si>
  <si>
    <t>Extingue 4 (Porém, chama de Orientador Pedagógico)</t>
  </si>
  <si>
    <t>Professor para a Educação Especial - Docente I</t>
  </si>
  <si>
    <t>A-01</t>
  </si>
  <si>
    <t>Professor Supervisor Educacional</t>
  </si>
  <si>
    <t>Psicólogo</t>
  </si>
  <si>
    <t>Cria +3; Totaliza 6</t>
  </si>
  <si>
    <t>Cria +2 (subordinados à Sec. Mun. Ass. Social); Totaliza 8</t>
  </si>
  <si>
    <t>Cria +1; Totaliza 9</t>
  </si>
  <si>
    <t>Cria +2; Totaliza 11</t>
  </si>
  <si>
    <t>Responsável pela Administração de Benefícios do PREVI-MIRACEMA</t>
  </si>
  <si>
    <t>Superior; experiência mínima de 02 (dois) anos na área contábil</t>
  </si>
  <si>
    <t>Responsável pela Administração Financeira e Contábil do Fundo Municipal de Educação</t>
  </si>
  <si>
    <t>Registro no CRC/RJ</t>
  </si>
  <si>
    <t>Responsável pela Alimentação e Controle dos Sistemas Interligados - S. M. Saúde</t>
  </si>
  <si>
    <t>Responsável pela Contabilidade do Fundo Municipal de Saúde - S. M. Saúde</t>
  </si>
  <si>
    <t>Responsável pela Contabilidade do PREVI-MIRACEMA</t>
  </si>
  <si>
    <t>Superior; registro no CRC/RJ; experiência mínima de 02 (dois) anos na área contábil</t>
  </si>
  <si>
    <t>Responsável pela Coordenação da Limpeza Urbana do Município - S. M. Meio Ambiente - Extinto</t>
  </si>
  <si>
    <t>Responsável pela Execução do Convênio dos Correios</t>
  </si>
  <si>
    <t>Cria 2 (1 Paraíso do Tobias; 1 Venda das Flores)</t>
  </si>
  <si>
    <t>Responsável pela Gestão de Investimentos do PREVI-MIRACEMA</t>
  </si>
  <si>
    <t>Responsável pela Manutenção da Iluminação Pública - S. M. Obras, Urbanismo e Transporte</t>
  </si>
  <si>
    <t>Responsável pela Manutenção de Podas de Árvores das Vias, Parques, Praças e Margem do Ribeirão Santo Antônio - S. M. Ambiente</t>
  </si>
  <si>
    <t>Responsável pela Manutenção do Cemitério Municipal - S. M. Administração</t>
  </si>
  <si>
    <t>Responsável pela Manutenção Geral dos Serviços Públicos dos Distritos - S. M. Obras, Urbanismo e Transportes</t>
  </si>
  <si>
    <t>Responsável pela Regulação de Internações - S. M. Saúde</t>
  </si>
  <si>
    <t>Responsável pela Serralheria Municipal - S. M. Obras, Urbanismo e Transportes</t>
  </si>
  <si>
    <t>Responsável pela Supervisão e Fiscalização dos Serviços de Varrição de Vias e Logradouros Públicos - Sec. Mun. Meio Ambiente</t>
  </si>
  <si>
    <t>Responsável pela Tesouraria do FMS - S. M. Saúde</t>
  </si>
  <si>
    <t>Responsável pela Tesouraria do Fundo Municipal de Educação</t>
  </si>
  <si>
    <t>Responsável pela Tesouraria do PREVI-MIRACEMA</t>
  </si>
  <si>
    <t>Responsável pelo Almoxarifado do Fundo Municipal de Educação</t>
  </si>
  <si>
    <t>Responsável pelo Almoxarifado e Patrimônio do PREVI-MIRACEMA</t>
  </si>
  <si>
    <t>Responsável pelo Apoio ao SINE - S. M. Administração</t>
  </si>
  <si>
    <t>Altera de CC-5 para CC-4</t>
  </si>
  <si>
    <t>Responsável pelo Arquivo Municipal - S. M. Administração</t>
  </si>
  <si>
    <t>Responsável pelo Comprev do PREVI-MIRACEMA</t>
  </si>
  <si>
    <t>Responsável pelo Controle de Processos - S. M. Licitação, Compras e Contratos*</t>
  </si>
  <si>
    <t>Responsável pelo Controle de Processos - S. M. Licitação, Compras e Contratos**</t>
  </si>
  <si>
    <t>Responsável pelo Controle e Encaminhamento de Correspondências - S. M. Administração</t>
  </si>
  <si>
    <t>Responsável pelo Expediente da Capela Mortuária do Cemitério Municipal</t>
  </si>
  <si>
    <t>Responsável Pelo Expediente da Ouvidoria - Extinto</t>
  </si>
  <si>
    <t>Responsável pelo Expediente do Departamento de Tesouraria da Secretaria Municipal de Fazenda</t>
  </si>
  <si>
    <t>Responsável pelo Núcleo de Apoio a Educação - S. M. Educação, Esporte e Lazer</t>
  </si>
  <si>
    <t>Responsável pelo Patrimônio do Fundo Municipal de Educação</t>
  </si>
  <si>
    <t>Responsável pelo Planejamento e Administração em Saúde - S. M. Saúde</t>
  </si>
  <si>
    <t>Responsável pelo Protocolo Geral - S. M. Administração</t>
  </si>
  <si>
    <t>Responsável pelo Setor de Compras da Secretaria Municipal de Educação</t>
  </si>
  <si>
    <t>Altera forma de recrutamento de limitado para amplo</t>
  </si>
  <si>
    <t>Responsável pelo Setor de Compras da Secretaria Municipal de Saúde - S. M. Saúde</t>
  </si>
  <si>
    <t>Responsável pelo Setor de Merenda da Secretaria Municipal de Educação</t>
  </si>
  <si>
    <t>Responsável pelos Orientadores Oficineiros - S. M. Assistência Social</t>
  </si>
  <si>
    <t>Secretário Escolar</t>
  </si>
  <si>
    <t>Ensino médio modalidade normal ou curso superior em Pedagogia + curso de formação específica</t>
  </si>
  <si>
    <t>Mantém 2 vagas criadas pela Lei 1604/15</t>
  </si>
  <si>
    <t>Fixa em 11; Regulamenta carga horária de 30h/semana</t>
  </si>
  <si>
    <t>Secretário Executivo dos Conselhos Municipais de: Assistência Social, Saúde e Idoso - S. M. Assitência Social</t>
  </si>
  <si>
    <t>Secretário Municipal de Administração</t>
  </si>
  <si>
    <t>Secretário Municipal de Cultura e Turismo</t>
  </si>
  <si>
    <t>Secretário Municipal de Defesa Civil e Segurança Pública</t>
  </si>
  <si>
    <t>Secretário Municipal de Desenvolvimento Agropecuário</t>
  </si>
  <si>
    <t>Altera de Secretário Municipal de Meio Ambiente e Desenvolvimento Agropecuário para Secretário Municipal de Desenvolvimento Agropecuário</t>
  </si>
  <si>
    <t>Secretário Municipal de Desenvolvimento Social</t>
  </si>
  <si>
    <t>Altera de Secretário Municipal de Promoção e Bem Estar Social, para Secretário Municipal de Desenvolvimento Social</t>
  </si>
  <si>
    <t>Secretário Municipal de Educação</t>
  </si>
  <si>
    <t>Altera de Secretário Municipal de Educação e Cultura para Secretário Municipal de Educação</t>
  </si>
  <si>
    <t>Secretário Municipal de Emprego e Renda</t>
  </si>
  <si>
    <t>Secretário Municipal de Esporte, Juventude e Lazer</t>
  </si>
  <si>
    <t>Secretário Municipal de Fazenda</t>
  </si>
  <si>
    <t>Secretário Municipal de Governo</t>
  </si>
  <si>
    <t>Secretário Municipal de Licitação, Compras e Contratos</t>
  </si>
  <si>
    <t>Altera de S. M. de Licitações e Compras para S. M. de Licitação, Compras e Contratos; Revogada pela Lei nº 2158/2024</t>
  </si>
  <si>
    <t>Secretário Municipal de Meio Ambiente</t>
  </si>
  <si>
    <t>Secretário Municipal de Obras, Urbanismo e Transporte</t>
  </si>
  <si>
    <t>Alterado de Secretário Municipal de Obras e Urbanismo para Secretário Municipal de Obras e Urbanismo e Transporte</t>
  </si>
  <si>
    <t>Secretário Municipal de Planejamento e Desenvolvimento Econômico</t>
  </si>
  <si>
    <t>Secretário Municipal de Saúde</t>
  </si>
  <si>
    <t>Secretário Municipal de Segurança Pública</t>
  </si>
  <si>
    <t>Secretário Municipal de Transportes - Extinto</t>
  </si>
  <si>
    <t>Altera de Secretário Municipal de Transportes e Serviços Urbanos para Secretário Municipal de Transportes</t>
  </si>
  <si>
    <t>Servente Escolar</t>
  </si>
  <si>
    <t>Cria 25</t>
  </si>
  <si>
    <t>Aumenta para 80</t>
  </si>
  <si>
    <t>Aumenta para 85</t>
  </si>
  <si>
    <t>Aumenta para 93</t>
  </si>
  <si>
    <t>Cria +19; Totaliza 112 (Ocupantes: 1 CLT, 89 Estatutários)</t>
  </si>
  <si>
    <t>Fixa em 111</t>
  </si>
  <si>
    <t xml:space="preserve">Subprefeito de Paraíso do Tobias </t>
  </si>
  <si>
    <t xml:space="preserve">Subprefeito de Venda das Flores </t>
  </si>
  <si>
    <t>Subprocurador Geral do Município</t>
  </si>
  <si>
    <t>60% do CC-1</t>
  </si>
  <si>
    <t>Altera de CC-2 para 60% do CC-1</t>
  </si>
  <si>
    <t>Subsecretário Municipal de Saúde</t>
  </si>
  <si>
    <t>Supervisor</t>
  </si>
  <si>
    <t>Cria 4; Revogadas pela Lei 1664/16</t>
  </si>
  <si>
    <t>Técnico Agrícola</t>
  </si>
  <si>
    <t>Ensino Médio + Curso técnico + Registro profissional</t>
  </si>
  <si>
    <t>Plano de Carreira e Vencimentos; Altera de P-22 para A-I</t>
  </si>
  <si>
    <t>Técnico Ambiental</t>
  </si>
  <si>
    <t>Técnico da Corregedoria Geral do Município - Área notificação e atos intimatórios</t>
  </si>
  <si>
    <t>Nível Médio; abrangido o curso profissional técnico equivalente</t>
  </si>
  <si>
    <t>Cria +6, totaliza 7</t>
  </si>
  <si>
    <t>Técnico de Administração</t>
  </si>
  <si>
    <t>Cria 20</t>
  </si>
  <si>
    <t>Fixa em 20</t>
  </si>
  <si>
    <t>Totaliza 21</t>
  </si>
  <si>
    <t>Plano de Carreira e Vencimentos; Altera de P-22 para A-I; Fixa carga horária</t>
  </si>
  <si>
    <t>Técnico de Administração - UTIL - Extinto</t>
  </si>
  <si>
    <t>Técnico de Contabilidade</t>
  </si>
  <si>
    <t>Totaliza 3 (Ocupantes: 1 CLT, 2 Estatutários)</t>
  </si>
  <si>
    <t>Técnico de Edificações</t>
  </si>
  <si>
    <t>Técnico de Enfermagem</t>
  </si>
  <si>
    <t>Cria +1; Totaliza 17</t>
  </si>
  <si>
    <t>Cria +3; Totaliza 20</t>
  </si>
  <si>
    <t>Cria +4; Totaliza 25</t>
  </si>
  <si>
    <t>Técnico de Estradas</t>
  </si>
  <si>
    <t>Técnico de Laboratório</t>
  </si>
  <si>
    <t>Ensino Médio + Curso técnico de laboratório + Registro CRF</t>
  </si>
  <si>
    <t>Técnico de Radiologia</t>
  </si>
  <si>
    <t>Cria +2; Totaliza 3</t>
  </si>
  <si>
    <t>Altera carga horária para 24 h/semana</t>
  </si>
  <si>
    <t>Técnico de Turismo</t>
  </si>
  <si>
    <t>Totaliza 0</t>
  </si>
  <si>
    <t>Técnico Desenhista de Projetos</t>
  </si>
  <si>
    <t>Técnico em Saúde Bucal</t>
  </si>
  <si>
    <t>Totaliza 6</t>
  </si>
  <si>
    <t>Cria +2; Totaliza 9</t>
  </si>
  <si>
    <t>Alterado de Técnico de Higiene Dental para Técnico em Saúde Bucal</t>
  </si>
  <si>
    <t>Técnico em Tecnologia da Informação</t>
  </si>
  <si>
    <t>Ensino Médio Técnico com habilitação em Informática ou Tecnologia da Informação</t>
  </si>
  <si>
    <t>Altera de Técnico em Informática para Técnico em Tecnologia da Informação; Fixa em 6; Altera de P-22 para A-I; Altera escolaridade de Técnico em Tecnologia da Informação</t>
  </si>
  <si>
    <t>Terapeuta Ocupacional</t>
  </si>
  <si>
    <t>Turismólogo</t>
  </si>
  <si>
    <t>Vigia - UTIL - Extinto</t>
  </si>
  <si>
    <t>P-02</t>
  </si>
  <si>
    <t>Zootecnista</t>
  </si>
  <si>
    <t>Reduz carga horária para 25h/semana</t>
  </si>
  <si>
    <t>Coluna1</t>
  </si>
  <si>
    <t>Lei nº 1799/2019</t>
  </si>
  <si>
    <t>Lei nº 1708/2017</t>
  </si>
  <si>
    <t>Assessor Superior do Prefeito - Extinto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</si>
</sst>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9"/>
      <color rgb="FF000000"/>
      <name val="Segoe UI"/>
      <family val="2"/>
    </font>
    <font>
      <sz val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39988402966399123"/>
        <bgColor rgb="FFAFD095"/>
      </patternFill>
    </fill>
    <fill>
      <patternFill patternType="solid">
        <fgColor rgb="FFFF0000"/>
        <bgColor rgb="FF9C0006"/>
      </patternFill>
    </fill>
    <fill>
      <patternFill patternType="solid">
        <fgColor rgb="FFAFD095"/>
        <bgColor rgb="FFA9D18E"/>
      </patternFill>
    </fill>
    <fill>
      <patternFill patternType="solid">
        <fgColor theme="7" tint="0.5998718222602008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9" tint="0.39997558519241921"/>
        <bgColor rgb="FFFFD966"/>
      </patternFill>
    </fill>
    <fill>
      <patternFill patternType="solid">
        <fgColor theme="9" tint="0.39997558519241921"/>
        <bgColor rgb="FFAFD095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A9D18E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AFD095"/>
      </patternFill>
    </fill>
    <fill>
      <patternFill patternType="solid">
        <fgColor theme="2"/>
        <bgColor rgb="FFA9D18E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7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4" borderId="0" xfId="0" applyFill="1" applyAlignment="1">
      <alignment wrapText="1"/>
    </xf>
  </cellXfs>
  <cellStyles count="1">
    <cellStyle name="Normal" xfId="0" builtinId="0"/>
  </cellStyles>
  <dxfs count="235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A9D18E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212529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T382" totalsRowShown="0" headerRowDxfId="234" dataDxfId="233">
  <autoFilter ref="A1:HT382" xr:uid="{00000000-0009-0000-0100-000001000000}"/>
  <sortState xmlns:xlrd2="http://schemas.microsoft.com/office/spreadsheetml/2017/richdata2" ref="A2:HT382">
    <sortCondition ref="A1:A382"/>
  </sortState>
  <tableColumns count="228">
    <tableColumn id="1" xr3:uid="{00000000-0010-0000-0000-000001000000}" name="Cargo" dataDxfId="232"/>
    <tableColumn id="2" xr3:uid="{00000000-0010-0000-0000-000002000000}" name="Situação" dataDxfId="231"/>
    <tableColumn id="3" xr3:uid="{00000000-0010-0000-0000-000003000000}" name="Código FOPAG" dataDxfId="230"/>
    <tableColumn id="4" xr3:uid="{00000000-0010-0000-0000-000004000000}" name="Tipo de Provimento" dataDxfId="229"/>
    <tableColumn id="5" xr3:uid="{00000000-0010-0000-0000-000005000000}" name="Recrutamento" dataDxfId="228"/>
    <tableColumn id="6" xr3:uid="{00000000-0010-0000-0000-000006000000}" name="Restrição - Exigência" dataDxfId="227"/>
    <tableColumn id="7" xr3:uid="{00000000-0010-0000-0000-000007000000}" name="Carga Horária Semanal" dataDxfId="226"/>
    <tableColumn id="8" xr3:uid="{00000000-0010-0000-0000-000008000000}" name="Fonte Carga Horária" dataDxfId="225"/>
    <tableColumn id="9" xr3:uid="{00000000-0010-0000-0000-000009000000}" name="Símbolo de Vencimento" dataDxfId="224"/>
    <tableColumn id="10" xr3:uid="{00000000-0010-0000-0000-00000A000000}" name="Total de cargos PREVISTOS" dataDxfId="223"/>
    <tableColumn id="11" xr3:uid="{00000000-0010-0000-0000-00000B000000}" name="Total de cargos OCUPADOS" dataDxfId="222"/>
    <tableColumn id="12" xr3:uid="{00000000-0010-0000-0000-00000C000000}" name="SALDO TOTAL" dataDxfId="221"/>
    <tableColumn id="13" xr3:uid="{00000000-0010-0000-0000-00000D000000}" name="Atribuições" dataDxfId="220"/>
    <tableColumn id="14" xr3:uid="{00000000-0010-0000-0000-00000E000000}" name="813/99 - Plano de cargos, vencimentos e carreiras do servidores públicos" dataDxfId="219"/>
    <tableColumn id="15" xr3:uid="{00000000-0010-0000-0000-00000F000000}" name="824/00" dataDxfId="218"/>
    <tableColumn id="16" xr3:uid="{00000000-0010-0000-0000-000010000000}" name="827/00" dataDxfId="217"/>
    <tableColumn id="17" xr3:uid="{00000000-0010-0000-0000-000011000000}" name="845/00" dataDxfId="216"/>
    <tableColumn id="18" xr3:uid="{00000000-0010-0000-0000-000012000000}" name="846/00 - Disciplina o regime de emprego público de pessoal da UTIL" dataDxfId="215"/>
    <tableColumn id="19" xr3:uid="{00000000-0010-0000-0000-000013000000}" name="851/01" dataDxfId="214"/>
    <tableColumn id="20" xr3:uid="{00000000-0010-0000-0000-000014000000}" name="867/01" dataDxfId="213"/>
    <tableColumn id="21" xr3:uid="{00000000-0010-0000-0000-000015000000}" name="924/01 - Concurso" dataDxfId="212"/>
    <tableColumn id="22" xr3:uid="{00000000-0010-0000-0000-000016000000}" name="926/02" dataDxfId="211"/>
    <tableColumn id="23" xr3:uid="{00000000-0010-0000-0000-000017000000}" name="929/02" dataDxfId="210"/>
    <tableColumn id="24" xr3:uid="{00000000-0010-0000-0000-000018000000}" name="933/02" dataDxfId="209"/>
    <tableColumn id="25" xr3:uid="{00000000-0010-0000-0000-000019000000}" name="944/02" dataDxfId="208"/>
    <tableColumn id="26" xr3:uid="{00000000-0010-0000-0000-00001A000000}" name="984/03" dataDxfId="207"/>
    <tableColumn id="27" xr3:uid="{00000000-0010-0000-0000-00001B000000}" name="985/03" dataDxfId="206"/>
    <tableColumn id="28" xr3:uid="{00000000-0010-0000-0000-00001C000000}" name="994/03" dataDxfId="205"/>
    <tableColumn id="29" xr3:uid="{00000000-0010-0000-0000-00001D000000}" name="1004/03 - Concurso" dataDxfId="204"/>
    <tableColumn id="30" xr3:uid="{00000000-0010-0000-0000-00001E000000}" name="1013/03 - Cria Conselho Tutelar" dataDxfId="203"/>
    <tableColumn id="31" xr3:uid="{00000000-0010-0000-0000-00001F000000}" name="1015/03" dataDxfId="202"/>
    <tableColumn id="32" xr3:uid="{00000000-0010-0000-0000-000020000000}" name="1017/03 - Plano de Cargos, Vencimentos e Carreiras da CAPPS" dataDxfId="201"/>
    <tableColumn id="33" xr3:uid="{00000000-0010-0000-0000-000021000000}" name="1019/03" dataDxfId="200"/>
    <tableColumn id="34" xr3:uid="{00000000-0010-0000-0000-000022000000}" name="1027/03" dataDxfId="199"/>
    <tableColumn id="35" xr3:uid="{00000000-0010-0000-0000-000023000000}" name="1034/04" dataDxfId="198"/>
    <tableColumn id="36" xr3:uid="{00000000-0010-0000-0000-000024000000}" name="1058/04" dataDxfId="197"/>
    <tableColumn id="37" xr3:uid="{00000000-0010-0000-0000-000025000000}" name="1073/04 (Verificar)" dataDxfId="196"/>
    <tableColumn id="38" xr3:uid="{00000000-0010-0000-0000-000026000000}" name="1075/04" dataDxfId="195"/>
    <tableColumn id="39" xr3:uid="{00000000-0010-0000-0000-000027000000}" name="1079/04" dataDxfId="194"/>
    <tableColumn id="40" xr3:uid="{00000000-0010-0000-0000-000028000000}" name="1085/05" dataDxfId="193"/>
    <tableColumn id="41" xr3:uid="{00000000-0010-0000-0000-000029000000}" name="1090/05" dataDxfId="192"/>
    <tableColumn id="42" xr3:uid="{00000000-0010-0000-0000-00002A000000}" name="1162/07 - Extinção da UTIL; Quadro de pessoal se constitui em quadro suplementar da Sec. Mun. De Obras;" dataDxfId="191"/>
    <tableColumn id="43" xr3:uid="{00000000-0010-0000-0000-00002B000000}" name="1165/07 - Conselho Tutelar" dataDxfId="190"/>
    <tableColumn id="44" xr3:uid="{00000000-0010-0000-0000-00002C000000}" name="1167/07" dataDxfId="189"/>
    <tableColumn id="45" xr3:uid="{00000000-0010-0000-0000-00002D000000}" name="1169/07 (Verificar)" dataDxfId="188"/>
    <tableColumn id="46" xr3:uid="{00000000-0010-0000-0000-00002E000000}" name="1175/07 (Art. 2º revogado pela Lei 1786/18)" dataDxfId="187"/>
    <tableColumn id="47" xr3:uid="{00000000-0010-0000-0000-00002F000000}" name="1190/08" dataDxfId="186"/>
    <tableColumn id="48" xr3:uid="{00000000-0010-0000-0000-000030000000}" name="1202/08" dataDxfId="185"/>
    <tableColumn id="49" xr3:uid="{00000000-0010-0000-0000-000031000000}" name="1206/08" dataDxfId="184"/>
    <tableColumn id="50" xr3:uid="{00000000-0010-0000-0000-000032000000}" name="1209/08" dataDxfId="183"/>
    <tableColumn id="51" xr3:uid="{00000000-0010-0000-0000-000033000000}" name="1223/08" dataDxfId="182"/>
    <tableColumn id="52" xr3:uid="{00000000-0010-0000-0000-000034000000}" name="1230/08 - Quadro complementar de quadros em extinção" dataDxfId="181"/>
    <tableColumn id="53" xr3:uid="{00000000-0010-0000-0000-000035000000}" name="1232/08" dataDxfId="180"/>
    <tableColumn id="54" xr3:uid="{00000000-0010-0000-0000-000036000000}" name="1233/08 - Altera as Leis nº 718/1998 e 846/2000" dataDxfId="179"/>
    <tableColumn id="55" xr3:uid="{00000000-0010-0000-0000-000037000000}" name="1241/08 - Cria DPCA da Guarda Municipal" dataDxfId="178"/>
    <tableColumn id="56" xr3:uid="{00000000-0010-0000-0000-000038000000}" name="1244/08 - Carga horária Médico Veterinário e Pedagogo" dataDxfId="177"/>
    <tableColumn id="57" xr3:uid="{00000000-0010-0000-0000-000039000000}" name="1260/09" dataDxfId="176"/>
    <tableColumn id="58" xr3:uid="{00000000-0010-0000-0000-00003A000000}" name="1261/09" dataDxfId="175"/>
    <tableColumn id="59" xr3:uid="{00000000-0010-0000-0000-00003B000000}" name="1272/09 (art. 2º revogado pela Lei nº 2158/2024)" dataDxfId="174"/>
    <tableColumn id="60" xr3:uid="{00000000-0010-0000-0000-00003C000000}" name="1278/09 (Revogada parcialmente pela Lei 1625/15)" dataDxfId="173"/>
    <tableColumn id="61" xr3:uid="{00000000-0010-0000-0000-00003D000000}" name="1285/09" dataDxfId="172"/>
    <tableColumn id="62" xr3:uid="{00000000-0010-0000-0000-00003E000000}" name="1299/10" dataDxfId="171"/>
    <tableColumn id="63" xr3:uid="{00000000-0010-0000-0000-00003F000000}" name="1307/10" dataDxfId="170"/>
    <tableColumn id="64" xr3:uid="{00000000-0010-0000-0000-000040000000}" name="1309/10" dataDxfId="169"/>
    <tableColumn id="65" xr3:uid="{00000000-0010-0000-0000-000041000000}" name="1311/10 (Art. 2º revogado pela Lei 1786/18)" dataDxfId="168"/>
    <tableColumn id="66" xr3:uid="{00000000-0010-0000-0000-000042000000}" name="1317/10" dataDxfId="167"/>
    <tableColumn id="67" xr3:uid="{00000000-0010-0000-0000-000043000000}" name="1318/10" dataDxfId="166"/>
    <tableColumn id="68" xr3:uid="{00000000-0010-0000-0000-000044000000}" name="1340/10" dataDxfId="165"/>
    <tableColumn id="69" xr3:uid="{00000000-0010-0000-0000-000045000000}" name="1341/10" dataDxfId="164"/>
    <tableColumn id="70" xr3:uid="{00000000-0010-0000-0000-000046000000}" name="1343/10" dataDxfId="163"/>
    <tableColumn id="71" xr3:uid="{00000000-0010-0000-0000-000047000000}" name="1344/10" dataDxfId="162"/>
    <tableColumn id="72" xr3:uid="{00000000-0010-0000-0000-000048000000}" name="1346/10" dataDxfId="161"/>
    <tableColumn id="73" xr3:uid="{00000000-0010-0000-0000-000049000000}" name="1362/11" dataDxfId="160"/>
    <tableColumn id="74" xr3:uid="{00000000-0010-0000-0000-00004A000000}" name="1363/11" dataDxfId="159"/>
    <tableColumn id="75" xr3:uid="{00000000-0010-0000-0000-00004B000000}" name="1364/11" dataDxfId="158"/>
    <tableColumn id="76" xr3:uid="{00000000-0010-0000-0000-00004C000000}" name="1365/11" dataDxfId="157"/>
    <tableColumn id="77" xr3:uid="{00000000-0010-0000-0000-00004D000000}" name="1367/11 - Revoga a Lei 699/98; Plano de Carreira e Remuneração do Magistério; Revogada pela Lei 1808/18" dataDxfId="156"/>
    <tableColumn id="78" xr3:uid="{00000000-0010-0000-0000-00004E000000}" name="1375/11" dataDxfId="155"/>
    <tableColumn id="79" xr3:uid="{00000000-0010-0000-0000-00004F000000}" name="1376/11 - Extingue Sec. Mun. De Segurança Pública; Revoga Lei 1317/10" dataDxfId="154"/>
    <tableColumn id="80" xr3:uid="{00000000-0010-0000-0000-000050000000}" name="1377/11" dataDxfId="153"/>
    <tableColumn id="81" xr3:uid="{00000000-0010-0000-0000-000051000000}" name="1386/12" dataDxfId="152"/>
    <tableColumn id="82" xr3:uid="{00000000-0010-0000-0000-000052000000}" name="1391/12" dataDxfId="151"/>
    <tableColumn id="83" xr3:uid="{00000000-0010-0000-0000-000053000000}" name="1392/12" dataDxfId="150"/>
    <tableColumn id="84" xr3:uid="{00000000-0010-0000-0000-000054000000}" name="1394/12" dataDxfId="149"/>
    <tableColumn id="85" xr3:uid="{00000000-0010-0000-0000-000055000000}" name="1395/12" dataDxfId="148"/>
    <tableColumn id="86" xr3:uid="{00000000-0010-0000-0000-000056000000}" name="1396/12" dataDxfId="147"/>
    <tableColumn id="87" xr3:uid="{00000000-0010-0000-0000-000057000000}" name="1399/12" dataDxfId="146"/>
    <tableColumn id="88" xr3:uid="{00000000-0010-0000-0000-000058000000}" name="1404/12" dataDxfId="145"/>
    <tableColumn id="89" xr3:uid="{00000000-0010-0000-0000-000059000000}" name="1405/12" dataDxfId="144"/>
    <tableColumn id="90" xr3:uid="{00000000-0010-0000-0000-00005A000000}" name="1406/12 - Regimento Interno CGM" dataDxfId="143"/>
    <tableColumn id="91" xr3:uid="{00000000-0010-0000-0000-00005B000000}" name="1411/12" dataDxfId="142"/>
    <tableColumn id="92" xr3:uid="{00000000-0010-0000-0000-00005C000000}" name="1416/12" dataDxfId="141"/>
    <tableColumn id="93" xr3:uid="{00000000-0010-0000-0000-00005D000000}" name="1419/13" dataDxfId="140"/>
    <tableColumn id="94" xr3:uid="{00000000-0010-0000-0000-00005E000000}" name="1422/13" dataDxfId="139"/>
    <tableColumn id="95" xr3:uid="{00000000-0010-0000-0000-00005F000000}" name="1423/13" dataDxfId="138"/>
    <tableColumn id="96" xr3:uid="{00000000-0010-0000-0000-000060000000}" name="1424/13" dataDxfId="137"/>
    <tableColumn id="97" xr3:uid="{00000000-0010-0000-0000-000061000000}" name="1427/13" dataDxfId="136"/>
    <tableColumn id="98" xr3:uid="{00000000-0010-0000-0000-000062000000}" name="1428/13 (Revogada pela Lei nº 2163/2024" dataDxfId="135"/>
    <tableColumn id="99" xr3:uid="{00000000-0010-0000-0000-000063000000}" name="1430/13" dataDxfId="134"/>
    <tableColumn id="100" xr3:uid="{00000000-0010-0000-0000-000064000000}" name="1431/13" dataDxfId="133"/>
    <tableColumn id="101" xr3:uid="{00000000-0010-0000-0000-000065000000}" name="1432/13" dataDxfId="132"/>
    <tableColumn id="102" xr3:uid="{00000000-0010-0000-0000-000066000000}" name="1433/13 (Revogada pela Lei 1786/18)" dataDxfId="131"/>
    <tableColumn id="103" xr3:uid="{00000000-0010-0000-0000-000067000000}" name="1434/13" dataDxfId="130"/>
    <tableColumn id="104" xr3:uid="{00000000-0010-0000-0000-000068000000}" name="1440/13" dataDxfId="129"/>
    <tableColumn id="105" xr3:uid="{00000000-0010-0000-0000-000069000000}" name="1443/13" dataDxfId="128"/>
    <tableColumn id="106" xr3:uid="{00000000-0010-0000-0000-00006A000000}" name="1448/13" dataDxfId="127"/>
    <tableColumn id="107" xr3:uid="{00000000-0010-0000-0000-00006B000000}" name="1449/13" dataDxfId="126"/>
    <tableColumn id="108" xr3:uid="{00000000-0010-0000-0000-00006C000000}" name="1450/13" dataDxfId="125"/>
    <tableColumn id="109" xr3:uid="{00000000-0010-0000-0000-00006D000000}" name="1451/13" dataDxfId="124"/>
    <tableColumn id="110" xr3:uid="{00000000-0010-0000-0000-00006E000000}" name="1452/13" dataDxfId="123"/>
    <tableColumn id="111" xr3:uid="{00000000-0010-0000-0000-00006F000000}" name="1459/13" dataDxfId="122"/>
    <tableColumn id="112" xr3:uid="{00000000-0010-0000-0000-000070000000}" name="1460/13 - Reestrutura Lei 1017/03 (CAPPS)" dataDxfId="121"/>
    <tableColumn id="113" xr3:uid="{00000000-0010-0000-0000-000071000000}" name="1461/13 - Controle Interno CAPPS" dataDxfId="120"/>
    <tableColumn id="114" xr3:uid="{00000000-0010-0000-0000-000072000000}" name="1465/13 - Revogada parcialmente pela Lei 1632/16" dataDxfId="119"/>
    <tableColumn id="115" xr3:uid="{00000000-0010-0000-0000-000073000000}" name="1466/13 - Concurso CAPS" dataDxfId="118"/>
    <tableColumn id="116" xr3:uid="{00000000-0010-0000-0000-000074000000}" name="1468/13" dataDxfId="117"/>
    <tableColumn id="117" xr3:uid="{00000000-0010-0000-0000-000075000000}" name="1495/14" dataDxfId="116"/>
    <tableColumn id="118" xr3:uid="{00000000-0010-0000-0000-000076000000}" name="1524/14" dataDxfId="115"/>
    <tableColumn id="119" xr3:uid="{00000000-0010-0000-0000-000077000000}" name="1526/14" dataDxfId="114"/>
    <tableColumn id="120" xr3:uid="{00000000-0010-0000-0000-000078000000}" name="1527/14" dataDxfId="113"/>
    <tableColumn id="121" xr3:uid="{00000000-0010-0000-0000-000079000000}" name="1528/14 (Revogada pela Lei 1598/15; Revogada pela Lei 1786/18)" dataDxfId="112"/>
    <tableColumn id="122" xr3:uid="{00000000-0010-0000-0000-00007A000000}" name="1555/14" dataDxfId="111"/>
    <tableColumn id="123" xr3:uid="{00000000-0010-0000-0000-00007B000000}" name="1563/14" dataDxfId="110"/>
    <tableColumn id="124" xr3:uid="{00000000-0010-0000-0000-00007C000000}" name="1580/15" dataDxfId="109"/>
    <tableColumn id="125" xr3:uid="{00000000-0010-0000-0000-00007D000000}" name="1598/15 (Revogada pela Lei nº 2158/2024)" dataDxfId="108"/>
    <tableColumn id="126" xr3:uid="{00000000-0010-0000-0000-00007E000000}" name="1599/15" dataDxfId="107"/>
    <tableColumn id="127" xr3:uid="{00000000-0010-0000-0000-00007F000000}" name="1600/15" dataDxfId="106"/>
    <tableColumn id="128" xr3:uid="{00000000-0010-0000-0000-000080000000}" name="1604/15" dataDxfId="105"/>
    <tableColumn id="129" xr3:uid="{00000000-0010-0000-0000-000081000000}" name="1605/15" dataDxfId="104"/>
    <tableColumn id="130" xr3:uid="{00000000-0010-0000-0000-000082000000}" name="1608/15 - Altera de Auditor para Auditor Fiscal" dataDxfId="103"/>
    <tableColumn id="131" xr3:uid="{00000000-0010-0000-0000-000083000000}" name="1617/15 - Altera Lei 1604/15" dataDxfId="102"/>
    <tableColumn id="132" xr3:uid="{00000000-0010-0000-0000-000084000000}" name="1618/15 - Altera Anexo I Lei 1367/11; Revogada pela Lei 1808/18" dataDxfId="101"/>
    <tableColumn id="133" xr3:uid="{00000000-0010-0000-0000-000085000000}" name="1625/16 - Revoga parcialmente Lei 1278/09; Altera de Auditor para Auditor Fiscal" dataDxfId="100"/>
    <tableColumn id="134" xr3:uid="{00000000-0010-0000-0000-000086000000}" name="1632/16 - Plano de Cargos, Carreiras e Salários ACE e ACS; Alterada pela Lei 1814/19" dataDxfId="99"/>
    <tableColumn id="135" xr3:uid="{00000000-0010-0000-0000-000087000000}" name="1637/16" dataDxfId="98"/>
    <tableColumn id="136" xr3:uid="{00000000-0010-0000-0000-000088000000}" name="1643/16" dataDxfId="97"/>
    <tableColumn id="137" xr3:uid="{00000000-0010-0000-0000-000089000000}" name="1659/16" dataDxfId="96"/>
    <tableColumn id="138" xr3:uid="{00000000-0010-0000-0000-00008A000000}" name="1662/16" dataDxfId="95"/>
    <tableColumn id="139" xr3:uid="{00000000-0010-0000-0000-00008B000000}" name="1664/16 - Estatuto da Guarda Civil de Miracema, o Plano de Cargos e Carreira, Regimento Interno" dataDxfId="94"/>
    <tableColumn id="140" xr3:uid="{00000000-0010-0000-0000-00008C000000}" name="1680/16" dataDxfId="93"/>
    <tableColumn id="141" xr3:uid="{00000000-0010-0000-0000-00008D000000}" name="1687/16" dataDxfId="92"/>
    <tableColumn id="142" xr3:uid="{00000000-0010-0000-0000-00008E000000}" name="1688/17" dataDxfId="91"/>
    <tableColumn id="143" xr3:uid="{00000000-0010-0000-0000-00008F000000}" name="1704/17" dataDxfId="90"/>
    <tableColumn id="144" xr3:uid="{00000000-0010-0000-0000-000090000000}" name="1707/17" dataDxfId="89"/>
    <tableColumn id="145" xr3:uid="{00000000-0010-0000-0000-000091000000}" name="1708/17" dataDxfId="88"/>
    <tableColumn id="146" xr3:uid="{00000000-0010-0000-0000-000092000000}" name="1715/17" dataDxfId="87"/>
    <tableColumn id="147" xr3:uid="{00000000-0010-0000-0000-000093000000}" name="1727/17 - Reestrutura RPPS" dataDxfId="86"/>
    <tableColumn id="148" xr3:uid="{00000000-0010-0000-0000-000094000000}" name="1731/17" dataDxfId="85"/>
    <tableColumn id="149" xr3:uid="{00000000-0010-0000-0000-000095000000}" name="1732/17" dataDxfId="84"/>
    <tableColumn id="150" xr3:uid="{00000000-0010-0000-0000-000096000000}" name="1733/17" dataDxfId="83"/>
    <tableColumn id="151" xr3:uid="{00000000-0010-0000-0000-000097000000}" name="1743/17 - Reestrutura a S. M. de Licitação e Compras; Altera para S. M. de Licitação, Compras e Contratos; Revogada pela Lei nº 2158/2024" dataDxfId="82"/>
    <tableColumn id="152" xr3:uid="{00000000-0010-0000-0000-000098000000}" name="1749/17" dataDxfId="81"/>
    <tableColumn id="153" xr3:uid="{00000000-0010-0000-0000-000099000000}" name="1750/17" dataDxfId="80"/>
    <tableColumn id="154" xr3:uid="{00000000-0010-0000-0000-00009A000000}" name="1768/18" dataDxfId="79"/>
    <tableColumn id="155" xr3:uid="{00000000-0010-0000-0000-00009B000000}" name="1772/18" dataDxfId="78"/>
    <tableColumn id="156" xr3:uid="{00000000-0010-0000-0000-00009C000000}" name="1786/18 - Revoga Leis 1433/13, 1528/14, 1311/10 (art. 2º), 1175/07 (art. 2º)" dataDxfId="77"/>
    <tableColumn id="157" xr3:uid="{00000000-0010-0000-0000-00009D000000}" name="1796/18 - Reduz carga horária de Zootecnista" dataDxfId="76"/>
    <tableColumn id="158" xr3:uid="{00000000-0010-0000-0000-00009E000000}" name="1798/18 - Altera Lei 1664/16" dataDxfId="75"/>
    <tableColumn id="159" xr3:uid="{00000000-0010-0000-0000-00009F000000}" name="1799/18" dataDxfId="74"/>
    <tableColumn id="160" xr3:uid="{00000000-0010-0000-0000-0000A0000000}" name="1800/18 - Altera Lei 1608/15" dataDxfId="73"/>
    <tableColumn id="161" xr3:uid="{00000000-0010-0000-0000-0000A1000000}" name="1808/18 - Reformulação, implantação e gestão do Plano de Carreira do Magistério Público Municipal de Miracema" dataDxfId="72"/>
    <tableColumn id="162" xr3:uid="{00000000-0010-0000-0000-0000A2000000}" name="1809/18 - Reestruturação dos cargos de Fiscal de Tributos, Técnico de Tributação e Auxiliar de Tributação" dataDxfId="71"/>
    <tableColumn id="163" xr3:uid="{00000000-0010-0000-0000-0000A3000000}" name="1813/19 - Reestrutura RPPS" dataDxfId="70"/>
    <tableColumn id="164" xr3:uid="{00000000-0010-0000-0000-0000A4000000}" name="1814/19 - Regulamenta Lei Federal nº 13.708/18, alterando a Lei Municipal nº 1632/16 - ACS e ACE" dataDxfId="69"/>
    <tableColumn id="165" xr3:uid="{00000000-0010-0000-0000-0000A5000000}" name="1823/19" dataDxfId="68"/>
    <tableColumn id="166" xr3:uid="{00000000-0010-0000-0000-0000A6000000}" name="1825/19" dataDxfId="67"/>
    <tableColumn id="167" xr3:uid="{00000000-0010-0000-0000-0000A7000000}" name="1840/19 - Plano de Carreira, Cargos e Remuneração - Fiscal de Tributos, Analista Tributário e Agente Tributário" dataDxfId="66"/>
    <tableColumn id="168" xr3:uid="{00000000-0010-0000-0000-0000A8000000}" name="1857/19" dataDxfId="65"/>
    <tableColumn id="169" xr3:uid="{00000000-0010-0000-0000-0000A9000000}" name="1858/19" dataDxfId="64"/>
    <tableColumn id="170" xr3:uid="{00000000-0010-0000-0000-0000AA000000}" name="1863/19 - Plano de Carreira, Cargos e Remuneração - S. M. Obras e Transporte e S. M. Meio Ambiente" dataDxfId="63"/>
    <tableColumn id="171" xr3:uid="{00000000-0010-0000-0000-0000AB000000}" name="1864/19" dataDxfId="62"/>
    <tableColumn id="172" xr3:uid="{00000000-0010-0000-0000-0000AC000000}" name="1868/20 - Estatuto da Guarda Civil de Miracema, o Plano de Cargos e Carreira, Regimento Interno" dataDxfId="61"/>
    <tableColumn id="173" xr3:uid="{00000000-0010-0000-0000-0000AD000000}" name="1873/19" dataDxfId="60"/>
    <tableColumn id="174" xr3:uid="{00000000-0010-0000-0000-0000AE000000}" name="1884/20 - Plano de carreira e vencimentos da Área de Tecnologia da Informação" dataDxfId="59"/>
    <tableColumn id="175" xr3:uid="{00000000-0010-0000-0000-0000AF000000}" name="1885/20 - Plano de carreira e vencimentos de Auxiliar de Administração" dataDxfId="58"/>
    <tableColumn id="176" xr3:uid="{00000000-0010-0000-0000-0000B0000000}" name="1886/20 - Reenquadramento por transposição de regime jurídico do pessoal da UTIL" dataDxfId="57"/>
    <tableColumn id="177" xr3:uid="{00000000-0010-0000-0000-0000B1000000}" name="1887/20" dataDxfId="56"/>
    <tableColumn id="178" xr3:uid="{00000000-0010-0000-0000-0000B2000000}" name="1888/20 - Altera remuneração de Auxiliar de Saúde Bucal e Auxiliar de Material" dataDxfId="55"/>
    <tableColumn id="179" xr3:uid="{00000000-0010-0000-0000-0000B3000000}" name="1889/20" dataDxfId="54"/>
    <tableColumn id="180" xr3:uid="{00000000-0010-0000-0000-0000B4000000}" name="1934/21" dataDxfId="53"/>
    <tableColumn id="181" xr3:uid="{00000000-0010-0000-0000-0000B5000000}" name="1935/21" dataDxfId="52"/>
    <tableColumn id="182" xr3:uid="{00000000-0010-0000-0000-0000B6000000}" name="1957/21" dataDxfId="51"/>
    <tableColumn id="183" xr3:uid="{00000000-0010-0000-0000-0000B7000000}" name="1960/21" dataDxfId="50"/>
    <tableColumn id="184" xr3:uid="{00000000-0010-0000-0000-0000B8000000}" name="1999/21" dataDxfId="49"/>
    <tableColumn id="185" xr3:uid="{00000000-0010-0000-0000-0000B9000000}" name="2000/21" dataDxfId="48"/>
    <tableColumn id="186" xr3:uid="{00000000-0010-0000-0000-0000BA000000}" name="2001/21" dataDxfId="47"/>
    <tableColumn id="187" xr3:uid="{00000000-0010-0000-0000-0000BB000000}" name="2009/22" dataDxfId="46"/>
    <tableColumn id="188" xr3:uid="{00000000-0010-0000-0000-0000BC000000}" name="2014/22" dataDxfId="45"/>
    <tableColumn id="189" xr3:uid="{00000000-0010-0000-0000-0000BD000000}" name="2029/22 - Implantação do Vencimento Básico dos Agentes Comunitários de Saúde e Agentes de Combate às Endemias" dataDxfId="44"/>
    <tableColumn id="190" xr3:uid="{00000000-0010-0000-0000-0000BE000000}" name="2035/22" dataDxfId="43"/>
    <tableColumn id="191" xr3:uid="{00000000-0010-0000-0000-0000BF000000}" name="2036/22" dataDxfId="42"/>
    <tableColumn id="192" xr3:uid="{00000000-0010-0000-0000-0000C0000000}" name="2041/22 - Plano de Carreira, Cargos e Remuneração - Jardineiros, Garis, Coveiros e Auxiliar de Arquivo" dataDxfId="41"/>
    <tableColumn id="193" xr3:uid="{00000000-0010-0000-0000-0000C1000000}" name="2042/22 - Plano de Carreira, Cargos e Remuneração - Ajudante de Obras e Serviços" dataDxfId="40"/>
    <tableColumn id="194" xr3:uid="{00000000-0010-0000-0000-0000C2000000}" name="2043/22 - Plano de Carreira, Cargos e Remuneração - Economista" dataDxfId="39"/>
    <tableColumn id="195" xr3:uid="{00000000-0010-0000-0000-0000C3000000}" name="2050/22" dataDxfId="38"/>
    <tableColumn id="196" xr3:uid="{00000000-0010-0000-0000-0000C4000000}" name="2051/22" dataDxfId="37"/>
    <tableColumn id="197" xr3:uid="{00000000-0010-0000-0000-0000C5000000}" name="2053/22 - Plano de Carreira, Cargos e Remuneração - Auxiliar de Saúde, Auxiliar de Enfermagem e Auxiliar de Laboratório" dataDxfId="36"/>
    <tableColumn id="198" xr3:uid="{00000000-0010-0000-0000-0000C6000000}" name="2058/22 - Moderniza, regulamenta a estrutura e as atribuições do Departamento de Recursos Humanos e do Departamento de Registro de Pagamento e Pessoal (Revogada pela Lei nº 2163/2024)" dataDxfId="35"/>
    <tableColumn id="199" xr3:uid="{00000000-0010-0000-0000-0000C7000000}" name="2064/22" dataDxfId="34"/>
    <tableColumn id="200" xr3:uid="{00000000-0010-0000-0000-0000C8000000}" name="2065/22 - Altera Lei 2043/22 (Economista)" dataDxfId="33"/>
    <tableColumn id="201" xr3:uid="{00000000-0010-0000-0000-0000C9000000}" name="2066/22" dataDxfId="32"/>
    <tableColumn id="202" xr3:uid="{00000000-0010-0000-0000-0000CA000000}" name="2067/22 - Regulamenta a carga horária de Farmacêutico e Auxiliar de Laboratório" dataDxfId="31"/>
    <tableColumn id="203" xr3:uid="{00000000-0010-0000-0000-0000CB000000}" name="2068/22 - Plano de Carreira, Cargos e Remuneração - Secretário Escolar" dataDxfId="30"/>
    <tableColumn id="204" xr3:uid="{00000000-0010-0000-0000-0000CC000000}" name="2069/22 - Plano de Carreira, Cargos e Remuneração - Pedagogo" dataDxfId="29"/>
    <tableColumn id="205" xr3:uid="{00000000-0010-0000-0000-0000CD000000}" name="2070/22 - Altera as Leis 1809/18, 1840/19, 813/99, 798/99" dataDxfId="28"/>
    <tableColumn id="206" xr3:uid="{00000000-0010-0000-0000-0000CE000000}" name="2092/23" dataDxfId="27"/>
    <tableColumn id="207" xr3:uid="{00000000-0010-0000-0000-0000CF000000}" name="2096/23 - Regulamenta o vencimento dos Servidores Municipais que possuem estabilidade excepcional garantida pelo art. 19 do ADCT" dataDxfId="26"/>
    <tableColumn id="208" xr3:uid="{00000000-0010-0000-0000-0000D0000000}" name="2110/23 - Plano de Carreira e Vencimentos de Técnico de Administração e Contador" dataDxfId="25"/>
    <tableColumn id="209" xr3:uid="{00000000-0010-0000-0000-0000D1000000}" name="2117/23 - Altera Lei 1884/20" dataDxfId="24"/>
    <tableColumn id="210" xr3:uid="{00000000-0010-0000-0000-0000D2000000}" name="2122/23 - Extingue 1 cargo de Assessor (S. M Governo) e cria 1 cargo de Responsável pela Supervisão e Fiscalização dos Serviços de Varrição de Vias e Logradouros Públicos (S. M. Meio Ambiente)" dataDxfId="23"/>
    <tableColumn id="211" xr3:uid="{00000000-0010-0000-0000-0000D3000000}" name="2139/23 - Plano de Carreira e Vencimentos de Enfermeiro, Técnico de Enfermagem e Fonoaudiólogo" dataDxfId="22"/>
    <tableColumn id="212" xr3:uid="{00000000-0010-0000-0000-0000D4000000}" name="2140/23 - Plano de Carreira e Vencimentos de Motorista, Operador de Máquinas Pesadas e Motorista de Ambulância" dataDxfId="21"/>
    <tableColumn id="213" xr3:uid="{00000000-0010-0000-0000-0000D5000000}" name="2141/23 - Plano de Carreira e Vencimentos de Cantineiro Escolar, Servente Escolar e Contínuo-Servente" dataDxfId="20"/>
    <tableColumn id="214" xr3:uid="{00000000-0010-0000-0000-0000D6000000}" name="2142/23 - Plano de Carreira e Vencimentos de Médico Veterinário, Biólogo, Técnico Agrícola e Auxiliar de Biblioteca" dataDxfId="19"/>
    <tableColumn id="215" xr3:uid="{00000000-0010-0000-0000-0000D7000000}" name="2143/23 - Plano de Carreira e Vencimentos de Instrutor Oficineiro e Cozinheiro" dataDxfId="18"/>
    <tableColumn id="216" xr3:uid="{00000000-0010-0000-0000-0000D8000000}" name="2144/23 - Plano de Carreira e Vencimentos Técnico em Saúde Bucal e Auxiliar em Saúde Bucal" dataDxfId="17"/>
    <tableColumn id="217" xr3:uid="{00000000-0010-0000-0000-0000D9000000}" name="2148/23 - Plano de Carreira e Vencimentos do Quadro da UTIL (não optantes)" dataDxfId="16"/>
    <tableColumn id="218" xr3:uid="{00000000-0010-0000-0000-0000DA000000}" name="2149/24 - Altera Lei 1868/19 (Guarda Municipal)" dataDxfId="15"/>
    <tableColumn id="219" xr3:uid="{00000000-0010-0000-0000-0000DB000000}" name="2154/2024 - reestruturação de carreiras do Poder Executivo, instituindo o Plano de Carreira, Cargos e Remuneração" dataDxfId="14"/>
    <tableColumn id="220" xr3:uid="{00000000-0010-0000-0000-0000DC000000}" name="2158/2024 - Estruturação e modernização da Secretaria de Licitação, Compras e Contratos_x000a_Revoga as Leis nº 1743/2017, 1598/2015, 1272/2009 (art. 2º)" dataDxfId="13"/>
    <tableColumn id="221" xr3:uid="{00000000-0010-0000-0000-0000DD000000}" name="2159/2024 - Regulamenta a carga horaria Fonoaudiólogo" dataDxfId="12"/>
    <tableColumn id="222" xr3:uid="{00000000-0010-0000-0000-0000DE000000}" name="2163/2024 - Regulamenta a estrutura e as atribuições da_x000a_Coordenadoria Geral de Recursos Humanos e do_x000a_Coordenadoria Geral de Registro de Pagamento e_x000a_Pessoal (Revoga as Leis nº 1428/2013 e 2058/2022)" dataDxfId="11"/>
    <tableColumn id="223" xr3:uid="{00000000-0010-0000-0000-0000DF000000}" name="2169/2024 - Criação do Fundo Municipal de Educação - FME" dataDxfId="10"/>
    <tableColumn id="224" xr3:uid="{00000000-0010-0000-0000-0000E0000000}" name="2189/2024 - Regulamenta a carga horaria Assistente Social e Massoterapeuta" dataDxfId="9"/>
    <tableColumn id="225" xr3:uid="{00000000-0010-0000-0000-0000E1000000}" name="2194/2024 - Cria cargos ACS" dataDxfId="8"/>
    <tableColumn id="226" xr3:uid="{00000000-0010-0000-0000-0000E2000000}" name="2196/2024 - Retifica art. 1 da Lei 2194/2024" dataDxfId="7"/>
    <tableColumn id="227" xr3:uid="{00000000-0010-0000-0000-0000E3000000}" name="Coluna1" dataDxfId="6"/>
    <tableColumn id="228" xr3:uid="{00000000-0010-0000-0000-0000E4000000}" name="2287/26 - Cria 1 cargo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382"/>
  <sheetViews>
    <sheetView tabSelected="1" zoomScale="80" zoomScaleNormal="80" workbookViewId="0">
      <pane xSplit="1" topLeftCell="B1" activePane="topRight" state="frozen"/>
      <selection activeCell="A355" sqref="A355"/>
      <selection pane="topRight" activeCell="A3" sqref="A3"/>
    </sheetView>
  </sheetViews>
  <sheetFormatPr defaultColWidth="21.5703125" defaultRowHeight="15" customHeight="1" x14ac:dyDescent="0.25"/>
  <cols>
    <col min="1" max="1" width="73.5703125" style="2" customWidth="1"/>
    <col min="2" max="2" width="13.5703125" style="3" customWidth="1"/>
    <col min="3" max="3" width="17.7109375" style="4" customWidth="1"/>
    <col min="4" max="4" width="21.28515625" style="2" customWidth="1"/>
    <col min="5" max="5" width="34.140625" style="2" customWidth="1"/>
    <col min="6" max="6" width="29.28515625" style="4" customWidth="1"/>
    <col min="7" max="7" width="16.140625" style="4" customWidth="1"/>
    <col min="8" max="8" width="31.28515625" style="4" customWidth="1"/>
    <col min="9" max="9" width="33.7109375" style="4" customWidth="1"/>
    <col min="10" max="11" width="17.7109375" style="4" customWidth="1"/>
    <col min="12" max="13" width="21.5703125" style="5"/>
    <col min="14" max="14" width="24.28515625" style="4" customWidth="1"/>
    <col min="15" max="16" width="12.85546875" style="4" customWidth="1"/>
    <col min="17" max="17" width="16.7109375" style="4" customWidth="1"/>
    <col min="18" max="18" width="24.28515625" style="4" customWidth="1"/>
    <col min="19" max="19" width="17.140625" style="4" customWidth="1"/>
    <col min="20" max="20" width="24.140625" style="4" customWidth="1"/>
    <col min="21" max="22" width="12.85546875" style="4" customWidth="1"/>
    <col min="23" max="23" width="17.140625" style="4" customWidth="1"/>
    <col min="24" max="24" width="15.85546875" style="4" customWidth="1"/>
    <col min="25" max="25" width="14.7109375" style="4" customWidth="1"/>
    <col min="26" max="26" width="17.140625" style="4" customWidth="1"/>
    <col min="27" max="27" width="14.140625" style="4" customWidth="1"/>
    <col min="28" max="28" width="25.28515625" style="4" customWidth="1"/>
    <col min="29" max="29" width="29.5703125" style="4" customWidth="1"/>
    <col min="30" max="30" width="18.42578125" style="4" customWidth="1"/>
    <col min="31" max="31" width="34" style="4" customWidth="1"/>
    <col min="32" max="32" width="18.85546875" style="4" customWidth="1"/>
    <col min="33" max="33" width="14.140625" style="4" customWidth="1"/>
    <col min="34" max="34" width="17.140625" style="4" customWidth="1"/>
    <col min="35" max="35" width="14.28515625" style="4" customWidth="1"/>
    <col min="36" max="36" width="24.5703125" style="4" customWidth="1"/>
    <col min="37" max="37" width="18.42578125" style="4" customWidth="1"/>
    <col min="38" max="38" width="14.28515625" style="4" customWidth="1"/>
    <col min="39" max="39" width="36.7109375" style="4" customWidth="1"/>
    <col min="40" max="40" width="14.140625" style="4" customWidth="1"/>
    <col min="41" max="41" width="50.42578125" style="4" customWidth="1"/>
    <col min="42" max="42" width="29.5703125" style="4" customWidth="1"/>
    <col min="43" max="43" width="58.28515625" style="4" customWidth="1"/>
    <col min="44" max="44" width="24.5703125" style="4" customWidth="1"/>
    <col min="45" max="45" width="24.140625" style="4" customWidth="1"/>
    <col min="46" max="46" width="14.140625" style="4" customWidth="1"/>
    <col min="47" max="47" width="14.28515625" style="4" customWidth="1"/>
    <col min="48" max="48" width="37.5703125" style="4" customWidth="1"/>
    <col min="49" max="49" width="22.28515625" style="4" customWidth="1"/>
    <col min="50" max="50" width="14.140625" style="4" customWidth="1"/>
    <col min="51" max="51" width="41.28515625" style="4" customWidth="1"/>
    <col min="52" max="52" width="19.42578125" style="4" customWidth="1"/>
    <col min="53" max="53" width="31.85546875" style="4" customWidth="1"/>
    <col min="54" max="54" width="28.85546875" style="4" customWidth="1"/>
    <col min="55" max="55" width="29.42578125" style="4" customWidth="1"/>
    <col min="56" max="56" width="18.42578125" style="4" customWidth="1"/>
    <col min="57" max="57" width="16.42578125" style="4" customWidth="1"/>
    <col min="58" max="58" width="42.28515625" style="4" customWidth="1"/>
    <col min="59" max="59" width="29" style="4" customWidth="1"/>
    <col min="60" max="60" width="28.85546875" style="4" customWidth="1"/>
    <col min="61" max="61" width="18.28515625" style="4" customWidth="1"/>
    <col min="62" max="62" width="14.140625" style="4" customWidth="1"/>
    <col min="63" max="63" width="16.42578125" style="4" customWidth="1"/>
    <col min="64" max="64" width="24.140625" style="4" customWidth="1"/>
    <col min="65" max="66" width="14.140625" style="4" customWidth="1"/>
    <col min="67" max="67" width="16.42578125" style="4" customWidth="1"/>
    <col min="68" max="68" width="14.140625" style="4" customWidth="1"/>
    <col min="69" max="69" width="17.85546875" style="4" customWidth="1"/>
    <col min="70" max="70" width="14.140625" style="4" customWidth="1"/>
    <col min="71" max="71" width="34.85546875" style="4" customWidth="1"/>
    <col min="72" max="72" width="41.140625" style="4" customWidth="1"/>
    <col min="73" max="74" width="16.42578125" style="4" customWidth="1"/>
    <col min="75" max="75" width="19.42578125" style="4" customWidth="1"/>
    <col min="76" max="76" width="46.28515625" style="4" customWidth="1"/>
    <col min="77" max="77" width="30" style="4" customWidth="1"/>
    <col min="78" max="78" width="45.140625" style="4" customWidth="1"/>
    <col min="79" max="79" width="21.85546875" style="4" customWidth="1"/>
    <col min="80" max="80" width="19.5703125" style="4" customWidth="1"/>
    <col min="81" max="81" width="14.140625" style="4" customWidth="1"/>
    <col min="82" max="82" width="20.5703125" style="4" customWidth="1"/>
    <col min="83" max="83" width="16.42578125" style="4" customWidth="1"/>
    <col min="84" max="84" width="18.5703125" style="4" customWidth="1"/>
    <col min="85" max="85" width="16.42578125" style="4" customWidth="1"/>
    <col min="86" max="86" width="16.28515625" style="4" customWidth="1"/>
    <col min="87" max="87" width="21" style="4" customWidth="1"/>
    <col min="88" max="88" width="16.42578125" style="4" customWidth="1"/>
    <col min="89" max="89" width="26.42578125" style="4" customWidth="1"/>
    <col min="90" max="91" width="14.140625" style="4" customWidth="1"/>
    <col min="92" max="92" width="35.28515625" style="4" customWidth="1"/>
    <col min="93" max="94" width="14.140625" style="4" customWidth="1"/>
    <col min="95" max="95" width="16.42578125" style="4" customWidth="1"/>
    <col min="96" max="96" width="14.140625" style="4" customWidth="1"/>
    <col min="97" max="97" width="36.42578125" style="4" customWidth="1"/>
    <col min="98" max="99" width="14.140625" style="4" customWidth="1"/>
    <col min="100" max="100" width="24.140625" style="4" customWidth="1"/>
    <col min="101" max="101" width="35" style="4" customWidth="1"/>
    <col min="102" max="102" width="14.140625" style="4" customWidth="1"/>
    <col min="103" max="103" width="19.140625" style="4" customWidth="1"/>
    <col min="104" max="104" width="20.28515625" style="4" customWidth="1"/>
    <col min="105" max="105" width="16.42578125" style="4" customWidth="1"/>
    <col min="106" max="106" width="19.140625" style="4" customWidth="1"/>
    <col min="107" max="108" width="16.42578125" style="4" customWidth="1"/>
    <col min="109" max="109" width="14.140625" style="4" customWidth="1"/>
    <col min="110" max="110" width="34.85546875" style="4" customWidth="1"/>
    <col min="111" max="111" width="38.140625" style="4" customWidth="1"/>
    <col min="112" max="112" width="24.140625" style="4" customWidth="1"/>
    <col min="113" max="113" width="27.5703125" style="4" customWidth="1"/>
    <col min="114" max="114" width="31.5703125" style="4" customWidth="1"/>
    <col min="115" max="116" width="14.140625" style="4" customWidth="1"/>
    <col min="117" max="117" width="24" style="4" customWidth="1"/>
    <col min="118" max="119" width="14.140625" style="4" customWidth="1"/>
    <col min="120" max="120" width="33.7109375" style="4" customWidth="1"/>
    <col min="121" max="121" width="20.140625" style="4" customWidth="1"/>
    <col min="122" max="122" width="14.140625" style="4" customWidth="1"/>
    <col min="123" max="123" width="59" style="4" customWidth="1"/>
    <col min="124" max="124" width="36.42578125" style="4" customWidth="1"/>
    <col min="125" max="125" width="35" style="4" customWidth="1"/>
    <col min="126" max="126" width="17.7109375" style="4" customWidth="1"/>
    <col min="127" max="127" width="36.140625" style="4" customWidth="1"/>
    <col min="128" max="128" width="18.140625" style="4" customWidth="1"/>
    <col min="129" max="129" width="45.140625" style="4" customWidth="1"/>
    <col min="130" max="130" width="42" style="4" customWidth="1"/>
    <col min="131" max="131" width="33.5703125" style="4" customWidth="1"/>
    <col min="132" max="132" width="66.42578125" style="4" customWidth="1"/>
    <col min="133" max="133" width="51.42578125" style="4" customWidth="1"/>
    <col min="134" max="134" width="78.28515625" style="4" customWidth="1"/>
    <col min="135" max="135" width="19.5703125" style="4" customWidth="1"/>
    <col min="136" max="136" width="19.42578125" style="4" customWidth="1"/>
    <col min="137" max="137" width="20.7109375" style="4" customWidth="1"/>
    <col min="138" max="138" width="53.85546875" style="4" customWidth="1"/>
    <col min="139" max="139" width="25.140625" style="4" customWidth="1"/>
    <col min="140" max="142" width="14.140625" style="4" customWidth="1"/>
    <col min="143" max="143" width="28.7109375" style="4" customWidth="1"/>
    <col min="144" max="144" width="22.140625" style="4" customWidth="1"/>
    <col min="145" max="145" width="17.28515625" style="4" customWidth="1"/>
    <col min="146" max="146" width="34" style="4" customWidth="1"/>
    <col min="147" max="147" width="18.28515625" style="4" customWidth="1"/>
    <col min="148" max="148" width="21.42578125" style="4" customWidth="1"/>
    <col min="149" max="149" width="25.5703125" style="4" customWidth="1"/>
    <col min="150" max="150" width="98.85546875" style="4" customWidth="1"/>
    <col min="151" max="151" width="39.7109375" style="4" customWidth="1"/>
    <col min="152" max="152" width="21.140625" style="4" customWidth="1"/>
    <col min="153" max="153" width="14.140625" style="4" customWidth="1"/>
    <col min="154" max="154" width="52.85546875" style="4" customWidth="1"/>
    <col min="155" max="155" width="45.7109375" style="4" customWidth="1"/>
    <col min="156" max="156" width="39.28515625" style="4" customWidth="1"/>
    <col min="157" max="157" width="27" style="4" customWidth="1"/>
    <col min="158" max="158" width="19.5703125" style="4" customWidth="1"/>
    <col min="159" max="159" width="25.140625" style="4" customWidth="1"/>
    <col min="160" max="160" width="118.28515625" style="4" customWidth="1"/>
    <col min="161" max="161" width="61.42578125" style="4" customWidth="1"/>
    <col min="162" max="162" width="34" style="4" customWidth="1"/>
    <col min="163" max="163" width="44.7109375" style="4" customWidth="1"/>
    <col min="164" max="164" width="28.7109375" style="4" customWidth="1"/>
    <col min="165" max="165" width="34.42578125" style="4" customWidth="1"/>
    <col min="166" max="166" width="49.7109375" style="4" customWidth="1"/>
    <col min="167" max="167" width="36" style="4" customWidth="1"/>
    <col min="168" max="168" width="18" style="4" customWidth="1"/>
    <col min="169" max="169" width="72.42578125" style="4" customWidth="1"/>
    <col min="170" max="170" width="96.5703125" style="4" customWidth="1"/>
    <col min="171" max="171" width="53.85546875" style="4" customWidth="1"/>
    <col min="172" max="172" width="28.42578125" style="4" customWidth="1"/>
    <col min="173" max="173" width="25.42578125" style="4" customWidth="1"/>
    <col min="174" max="174" width="34.7109375" style="4" customWidth="1"/>
    <col min="175" max="175" width="41.42578125" style="4" customWidth="1"/>
    <col min="176" max="176" width="28.42578125" style="4" customWidth="1"/>
    <col min="177" max="177" width="72.42578125" style="4" customWidth="1"/>
    <col min="178" max="178" width="21.42578125" style="4" customWidth="1"/>
    <col min="179" max="179" width="14.140625" style="4" customWidth="1"/>
    <col min="180" max="180" width="16.7109375" style="4" customWidth="1"/>
    <col min="181" max="181" width="22.28515625" style="4" customWidth="1"/>
    <col min="182" max="182" width="32.140625" style="4" customWidth="1"/>
    <col min="183" max="183" width="14.140625" style="4" customWidth="1"/>
    <col min="184" max="184" width="89.85546875" style="4" customWidth="1"/>
    <col min="185" max="185" width="14.140625" style="4" customWidth="1"/>
    <col min="186" max="186" width="20.42578125" style="4" customWidth="1"/>
    <col min="187" max="187" width="29.42578125" style="4" customWidth="1"/>
    <col min="188" max="188" width="67.7109375" style="4" customWidth="1"/>
    <col min="189" max="189" width="33.28515625" style="4" customWidth="1"/>
    <col min="190" max="190" width="19.7109375" style="4" customWidth="1"/>
    <col min="191" max="191" width="51" style="4" customWidth="1"/>
    <col min="192" max="192" width="43.85546875" style="4" customWidth="1"/>
    <col min="193" max="193" width="33.7109375" style="4" customWidth="1"/>
    <col min="194" max="194" width="19.7109375" style="4" customWidth="1"/>
    <col min="195" max="195" width="14.140625" style="4" customWidth="1"/>
    <col min="196" max="196" width="58.85546875" style="4" customWidth="1"/>
    <col min="197" max="197" width="85.28515625" style="4" customWidth="1"/>
    <col min="198" max="198" width="38.7109375" style="4" customWidth="1"/>
    <col min="199" max="199" width="33.5703125" style="4" customWidth="1"/>
    <col min="200" max="200" width="14.140625" style="4" customWidth="1"/>
    <col min="201" max="201" width="48" style="4" customWidth="1"/>
    <col min="202" max="202" width="44.140625" style="4" customWidth="1"/>
    <col min="203" max="203" width="48.7109375" style="4" customWidth="1"/>
    <col min="204" max="204" width="40.5703125" style="4" customWidth="1"/>
    <col min="205" max="205" width="14.140625" style="4" customWidth="1"/>
    <col min="206" max="206" width="66" style="4" customWidth="1"/>
    <col min="207" max="208" width="89.28515625" style="4" customWidth="1"/>
    <col min="209" max="209" width="109" style="4" customWidth="1"/>
    <col min="210" max="210" width="77.5703125" style="4" customWidth="1"/>
    <col min="211" max="211" width="54.42578125" style="4" customWidth="1"/>
    <col min="212" max="212" width="80.140625" style="4" customWidth="1"/>
    <col min="213" max="213" width="66.42578125" style="4" customWidth="1"/>
    <col min="214" max="214" width="41.42578125" style="4" customWidth="1"/>
    <col min="215" max="215" width="67.42578125" style="4" customWidth="1"/>
    <col min="216" max="216" width="59.28515625" style="4" customWidth="1"/>
    <col min="217" max="217" width="44.28515625" style="4" customWidth="1"/>
    <col min="218" max="218" width="59.5703125" style="4" customWidth="1"/>
    <col min="219" max="219" width="65.140625" style="4" customWidth="1"/>
    <col min="220" max="220" width="48.5703125" style="4" customWidth="1"/>
    <col min="221" max="221" width="56.7109375" style="1" customWidth="1"/>
    <col min="222" max="222" width="25.85546875" style="4" customWidth="1"/>
    <col min="223" max="223" width="39.28515625" style="4" customWidth="1"/>
    <col min="224" max="224" width="22.140625" style="4" customWidth="1"/>
    <col min="225" max="225" width="37.85546875" style="4" customWidth="1"/>
    <col min="226" max="230" width="21.5703125" style="4"/>
    <col min="231" max="231" width="21.5703125" style="41"/>
    <col min="232" max="16384" width="21.5703125" style="4"/>
  </cols>
  <sheetData>
    <row r="1" spans="1:231" ht="78" customHeight="1" x14ac:dyDescent="0.25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8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9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1063</v>
      </c>
      <c r="HT1" s="10" t="s">
        <v>226</v>
      </c>
      <c r="HU1" s="11" t="s">
        <v>227</v>
      </c>
    </row>
    <row r="2" spans="1:231" s="13" customFormat="1" ht="45" x14ac:dyDescent="0.25">
      <c r="A2" s="12" t="s">
        <v>228</v>
      </c>
      <c r="B2" s="13" t="s">
        <v>229</v>
      </c>
      <c r="C2" s="13">
        <v>409</v>
      </c>
      <c r="D2" s="13" t="s">
        <v>230</v>
      </c>
      <c r="F2" s="13" t="s">
        <v>231</v>
      </c>
      <c r="G2" s="13">
        <v>20</v>
      </c>
      <c r="H2" s="13" t="s">
        <v>232</v>
      </c>
      <c r="I2" s="13" t="s">
        <v>233</v>
      </c>
      <c r="J2" s="13">
        <v>1</v>
      </c>
      <c r="K2" s="13">
        <v>1</v>
      </c>
      <c r="L2" s="13">
        <f>Planilha1!$J2-Planilha1!$K2</f>
        <v>0</v>
      </c>
      <c r="M2" s="13" t="s">
        <v>234</v>
      </c>
      <c r="DJ2" s="13" t="s">
        <v>235</v>
      </c>
      <c r="HW2" s="42"/>
    </row>
    <row r="3" spans="1:231" s="13" customFormat="1" ht="75" x14ac:dyDescent="0.25">
      <c r="A3" s="12" t="s">
        <v>236</v>
      </c>
      <c r="B3" s="13" t="s">
        <v>229</v>
      </c>
      <c r="C3" s="13">
        <v>1025</v>
      </c>
      <c r="D3" s="13" t="s">
        <v>230</v>
      </c>
      <c r="F3" s="13" t="s">
        <v>237</v>
      </c>
      <c r="G3" s="13">
        <v>40</v>
      </c>
      <c r="H3" s="13" t="s">
        <v>238</v>
      </c>
      <c r="I3" s="13" t="s">
        <v>239</v>
      </c>
      <c r="J3" s="13">
        <v>6</v>
      </c>
      <c r="K3" s="13">
        <v>6</v>
      </c>
      <c r="L3" s="13">
        <f>Planilha1!$J3-Planilha1!$K3</f>
        <v>0</v>
      </c>
      <c r="M3" s="13" t="s">
        <v>240</v>
      </c>
      <c r="DJ3" s="13" t="s">
        <v>241</v>
      </c>
      <c r="ED3" s="14" t="s">
        <v>242</v>
      </c>
      <c r="EF3" s="13" t="s">
        <v>243</v>
      </c>
      <c r="EG3" s="13" t="s">
        <v>244</v>
      </c>
      <c r="FH3" s="13" t="s">
        <v>245</v>
      </c>
      <c r="GG3" s="13" t="s">
        <v>246</v>
      </c>
      <c r="HW3" s="42"/>
    </row>
    <row r="4" spans="1:231" s="13" customFormat="1" ht="75" x14ac:dyDescent="0.25">
      <c r="A4" s="15" t="s">
        <v>247</v>
      </c>
      <c r="B4" s="13" t="s">
        <v>229</v>
      </c>
      <c r="C4" s="13">
        <v>1026</v>
      </c>
      <c r="D4" s="13" t="s">
        <v>230</v>
      </c>
      <c r="F4" s="13" t="s">
        <v>237</v>
      </c>
      <c r="G4" s="13">
        <v>40</v>
      </c>
      <c r="H4" s="13" t="s">
        <v>238</v>
      </c>
      <c r="I4" s="13" t="s">
        <v>239</v>
      </c>
      <c r="J4" s="13">
        <v>5</v>
      </c>
      <c r="K4" s="13">
        <v>4</v>
      </c>
      <c r="L4" s="13">
        <f>Planilha1!$J4-Planilha1!$K4</f>
        <v>1</v>
      </c>
      <c r="M4" s="13" t="s">
        <v>240</v>
      </c>
      <c r="DJ4" s="13" t="s">
        <v>241</v>
      </c>
      <c r="ED4" s="14" t="s">
        <v>248</v>
      </c>
      <c r="EF4" s="13" t="s">
        <v>249</v>
      </c>
      <c r="FH4" s="13" t="s">
        <v>250</v>
      </c>
      <c r="HQ4" s="13" t="s">
        <v>243</v>
      </c>
      <c r="HR4" s="16"/>
      <c r="HS4" s="16"/>
      <c r="HW4" s="42"/>
    </row>
    <row r="5" spans="1:231" s="13" customFormat="1" ht="75" x14ac:dyDescent="0.25">
      <c r="A5" s="15" t="s">
        <v>256</v>
      </c>
      <c r="B5" s="13" t="s">
        <v>229</v>
      </c>
      <c r="C5" s="13">
        <v>1023</v>
      </c>
      <c r="D5" s="13" t="s">
        <v>230</v>
      </c>
      <c r="F5" s="13" t="s">
        <v>237</v>
      </c>
      <c r="G5" s="13">
        <v>40</v>
      </c>
      <c r="H5" s="13" t="s">
        <v>238</v>
      </c>
      <c r="I5" s="13" t="s">
        <v>239</v>
      </c>
      <c r="J5" s="13">
        <v>0</v>
      </c>
      <c r="K5" s="13">
        <v>5</v>
      </c>
      <c r="L5" s="17">
        <f>Planilha1!$J6-Planilha1!$K6</f>
        <v>-2</v>
      </c>
      <c r="M5" s="13" t="s">
        <v>240</v>
      </c>
      <c r="DJ5" s="13" t="s">
        <v>241</v>
      </c>
      <c r="ED5" s="14" t="s">
        <v>257</v>
      </c>
      <c r="FH5" s="13" t="s">
        <v>258</v>
      </c>
      <c r="HR5" s="16"/>
      <c r="HS5" s="16"/>
      <c r="HW5" s="42"/>
    </row>
    <row r="6" spans="1:231" s="13" customFormat="1" ht="75" x14ac:dyDescent="0.25">
      <c r="A6" s="15" t="s">
        <v>251</v>
      </c>
      <c r="B6" s="13" t="s">
        <v>229</v>
      </c>
      <c r="C6" s="13" t="s">
        <v>252</v>
      </c>
      <c r="D6" s="13" t="s">
        <v>230</v>
      </c>
      <c r="F6" s="13" t="s">
        <v>237</v>
      </c>
      <c r="G6" s="13">
        <v>40</v>
      </c>
      <c r="H6" s="13" t="s">
        <v>238</v>
      </c>
      <c r="I6" s="13" t="s">
        <v>239</v>
      </c>
      <c r="J6" s="13">
        <v>4</v>
      </c>
      <c r="K6" s="13">
        <v>6</v>
      </c>
      <c r="L6" s="17">
        <f>Planilha1!$J5-Planilha1!$K5</f>
        <v>-5</v>
      </c>
      <c r="M6" s="13" t="s">
        <v>240</v>
      </c>
      <c r="DJ6" s="13" t="s">
        <v>241</v>
      </c>
      <c r="ED6" s="14" t="s">
        <v>253</v>
      </c>
      <c r="ES6" s="13" t="s">
        <v>254</v>
      </c>
      <c r="FH6" s="13" t="s">
        <v>255</v>
      </c>
      <c r="HR6" s="16"/>
      <c r="HS6" s="16"/>
      <c r="HW6" s="42"/>
    </row>
    <row r="7" spans="1:231" s="13" customFormat="1" ht="75" x14ac:dyDescent="0.25">
      <c r="A7" s="15" t="s">
        <v>259</v>
      </c>
      <c r="B7" s="13" t="s">
        <v>229</v>
      </c>
      <c r="C7" s="13">
        <v>1022</v>
      </c>
      <c r="D7" s="13" t="s">
        <v>230</v>
      </c>
      <c r="F7" s="13" t="s">
        <v>237</v>
      </c>
      <c r="G7" s="13">
        <v>40</v>
      </c>
      <c r="H7" s="13" t="s">
        <v>238</v>
      </c>
      <c r="I7" s="13" t="s">
        <v>239</v>
      </c>
      <c r="J7" s="13">
        <v>7</v>
      </c>
      <c r="K7" s="13">
        <v>4</v>
      </c>
      <c r="L7" s="13">
        <f>Planilha1!$J7-Planilha1!$K7</f>
        <v>3</v>
      </c>
      <c r="M7" s="13" t="s">
        <v>240</v>
      </c>
      <c r="DJ7" s="13" t="s">
        <v>241</v>
      </c>
      <c r="ED7" s="14" t="s">
        <v>260</v>
      </c>
      <c r="ES7" s="13" t="s">
        <v>261</v>
      </c>
      <c r="FH7" s="13" t="s">
        <v>262</v>
      </c>
      <c r="HQ7" s="13" t="s">
        <v>263</v>
      </c>
      <c r="HR7" s="16"/>
      <c r="HS7" s="16"/>
      <c r="HW7" s="42"/>
    </row>
    <row r="8" spans="1:231" s="13" customFormat="1" ht="75" x14ac:dyDescent="0.25">
      <c r="A8" s="15" t="s">
        <v>264</v>
      </c>
      <c r="B8" s="13" t="s">
        <v>229</v>
      </c>
      <c r="C8" s="13">
        <v>1028</v>
      </c>
      <c r="D8" s="13" t="s">
        <v>230</v>
      </c>
      <c r="F8" s="13" t="s">
        <v>237</v>
      </c>
      <c r="G8" s="13">
        <v>40</v>
      </c>
      <c r="H8" s="13" t="s">
        <v>238</v>
      </c>
      <c r="I8" s="13" t="s">
        <v>239</v>
      </c>
      <c r="J8" s="13">
        <v>5</v>
      </c>
      <c r="K8" s="13">
        <v>5</v>
      </c>
      <c r="L8" s="13">
        <f>Planilha1!$J8-Planilha1!$K8</f>
        <v>0</v>
      </c>
      <c r="M8" s="13" t="s">
        <v>240</v>
      </c>
      <c r="DJ8" s="13" t="s">
        <v>241</v>
      </c>
      <c r="ED8" s="14" t="s">
        <v>265</v>
      </c>
      <c r="EG8" s="13" t="s">
        <v>266</v>
      </c>
      <c r="FH8" s="13" t="s">
        <v>267</v>
      </c>
      <c r="HR8" s="16"/>
      <c r="HS8" s="16"/>
      <c r="HW8" s="42"/>
    </row>
    <row r="9" spans="1:231" s="13" customFormat="1" ht="75" x14ac:dyDescent="0.25">
      <c r="A9" s="15" t="s">
        <v>268</v>
      </c>
      <c r="B9" s="13" t="s">
        <v>229</v>
      </c>
      <c r="C9" s="13">
        <v>1024</v>
      </c>
      <c r="D9" s="13" t="s">
        <v>230</v>
      </c>
      <c r="F9" s="13" t="s">
        <v>237</v>
      </c>
      <c r="G9" s="13">
        <v>40</v>
      </c>
      <c r="H9" s="13" t="s">
        <v>238</v>
      </c>
      <c r="I9" s="13" t="s">
        <v>239</v>
      </c>
      <c r="J9" s="13">
        <v>1</v>
      </c>
      <c r="K9" s="13">
        <v>3</v>
      </c>
      <c r="L9" s="17">
        <f>Planilha1!$J9-Planilha1!$K9</f>
        <v>-2</v>
      </c>
      <c r="M9" s="13" t="s">
        <v>240</v>
      </c>
      <c r="DJ9" s="13" t="s">
        <v>241</v>
      </c>
      <c r="ED9" s="14" t="s">
        <v>269</v>
      </c>
      <c r="FH9" s="13" t="s">
        <v>270</v>
      </c>
      <c r="HR9" s="16"/>
      <c r="HS9" s="16"/>
      <c r="HW9" s="42"/>
    </row>
    <row r="10" spans="1:231" s="13" customFormat="1" ht="75" x14ac:dyDescent="0.25">
      <c r="A10" s="15" t="s">
        <v>271</v>
      </c>
      <c r="B10" s="13" t="s">
        <v>229</v>
      </c>
      <c r="C10" s="13">
        <v>1027</v>
      </c>
      <c r="D10" s="13" t="s">
        <v>230</v>
      </c>
      <c r="F10" s="13" t="s">
        <v>237</v>
      </c>
      <c r="G10" s="13">
        <v>40</v>
      </c>
      <c r="H10" s="13" t="s">
        <v>238</v>
      </c>
      <c r="I10" s="13" t="s">
        <v>239</v>
      </c>
      <c r="J10" s="13">
        <v>1</v>
      </c>
      <c r="K10" s="13">
        <v>3</v>
      </c>
      <c r="L10" s="17">
        <f>Planilha1!$J10-Planilha1!$K10</f>
        <v>-2</v>
      </c>
      <c r="M10" s="13" t="s">
        <v>240</v>
      </c>
      <c r="DJ10" s="13" t="s">
        <v>241</v>
      </c>
      <c r="ED10" s="14" t="s">
        <v>272</v>
      </c>
      <c r="FH10" s="13" t="s">
        <v>273</v>
      </c>
      <c r="HR10" s="16"/>
      <c r="HS10" s="16"/>
      <c r="HW10" s="42"/>
    </row>
    <row r="11" spans="1:231" s="13" customFormat="1" ht="57.75" customHeight="1" x14ac:dyDescent="0.25">
      <c r="A11" s="12" t="s">
        <v>274</v>
      </c>
      <c r="B11" s="13" t="s">
        <v>229</v>
      </c>
      <c r="C11" s="13">
        <v>165</v>
      </c>
      <c r="D11" s="13" t="s">
        <v>230</v>
      </c>
      <c r="F11" s="13" t="s">
        <v>237</v>
      </c>
      <c r="G11" s="13">
        <v>40</v>
      </c>
      <c r="H11" s="13" t="s">
        <v>238</v>
      </c>
      <c r="I11" s="13" t="s">
        <v>239</v>
      </c>
      <c r="J11" s="13">
        <v>1</v>
      </c>
      <c r="K11" s="13">
        <v>14</v>
      </c>
      <c r="L11" s="17">
        <f>Planilha1!$J11-Planilha1!$K11</f>
        <v>-13</v>
      </c>
      <c r="M11" s="13" t="s">
        <v>275</v>
      </c>
      <c r="DJ11" s="13" t="s">
        <v>276</v>
      </c>
      <c r="ED11" s="13" t="s">
        <v>277</v>
      </c>
      <c r="EF11" s="13" t="s">
        <v>278</v>
      </c>
      <c r="ES11" s="13" t="s">
        <v>279</v>
      </c>
      <c r="FH11" s="13" t="s">
        <v>245</v>
      </c>
      <c r="GG11" s="13" t="s">
        <v>246</v>
      </c>
      <c r="HW11" s="42"/>
    </row>
    <row r="12" spans="1:231" s="33" customFormat="1" ht="28.5" customHeight="1" x14ac:dyDescent="0.25">
      <c r="A12" s="15" t="s">
        <v>280</v>
      </c>
      <c r="B12" s="13" t="s">
        <v>229</v>
      </c>
      <c r="C12" s="13">
        <v>1318</v>
      </c>
      <c r="D12" s="13" t="s">
        <v>281</v>
      </c>
      <c r="E12" s="13" t="s">
        <v>282</v>
      </c>
      <c r="F12" s="13" t="s">
        <v>283</v>
      </c>
      <c r="G12" s="13"/>
      <c r="H12" s="13" t="s">
        <v>284</v>
      </c>
      <c r="I12" s="13" t="s">
        <v>285</v>
      </c>
      <c r="J12" s="13">
        <v>1</v>
      </c>
      <c r="K12" s="13">
        <v>1</v>
      </c>
      <c r="L12" s="18">
        <f>Planilha1!$J12-Planilha1!$K12</f>
        <v>0</v>
      </c>
      <c r="M12" s="13" t="s">
        <v>286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 t="s">
        <v>287</v>
      </c>
      <c r="HM12" s="13"/>
      <c r="HN12" s="13"/>
      <c r="HO12" s="13"/>
      <c r="HP12" s="13"/>
      <c r="HQ12" s="13"/>
      <c r="HR12" s="16"/>
      <c r="HS12" s="16"/>
      <c r="HT12" s="13"/>
      <c r="HW12" s="46"/>
    </row>
    <row r="13" spans="1:231" s="38" customFormat="1" ht="45" x14ac:dyDescent="0.25">
      <c r="A13" s="35" t="s">
        <v>288</v>
      </c>
      <c r="B13" s="13" t="s">
        <v>229</v>
      </c>
      <c r="C13" s="37">
        <v>1032</v>
      </c>
      <c r="D13" s="38" t="s">
        <v>230</v>
      </c>
      <c r="F13" s="36" t="s">
        <v>289</v>
      </c>
      <c r="G13" s="36" t="s">
        <v>289</v>
      </c>
      <c r="H13" s="36" t="s">
        <v>289</v>
      </c>
      <c r="J13" s="37"/>
      <c r="K13" s="37"/>
      <c r="L13" s="37">
        <f>Planilha1!$J13-Planilha1!$K13</f>
        <v>0</v>
      </c>
      <c r="M13" s="37"/>
      <c r="CO13" s="38" t="s">
        <v>290</v>
      </c>
      <c r="HW13" s="41"/>
    </row>
    <row r="14" spans="1:231" ht="60" x14ac:dyDescent="0.25">
      <c r="A14" s="19" t="s">
        <v>291</v>
      </c>
      <c r="B14" s="13" t="s">
        <v>229</v>
      </c>
      <c r="C14" s="3">
        <v>1192</v>
      </c>
      <c r="D14" s="4" t="s">
        <v>230</v>
      </c>
      <c r="E14" s="4"/>
      <c r="F14" s="4" t="s">
        <v>292</v>
      </c>
      <c r="G14" s="4">
        <v>30</v>
      </c>
      <c r="I14" s="4" t="s">
        <v>293</v>
      </c>
      <c r="J14" s="3"/>
      <c r="K14" s="3"/>
      <c r="L14" s="3">
        <f>Planilha1!$J14-Planilha1!$K14</f>
        <v>0</v>
      </c>
      <c r="M14" s="3"/>
      <c r="N14" s="4" t="s">
        <v>294</v>
      </c>
      <c r="AR14" s="4" t="s">
        <v>295</v>
      </c>
      <c r="CJ14" s="4" t="s">
        <v>244</v>
      </c>
      <c r="CZ14" s="4" t="s">
        <v>296</v>
      </c>
      <c r="FF14" s="4" t="s">
        <v>297</v>
      </c>
      <c r="GW14" s="4" t="s">
        <v>298</v>
      </c>
      <c r="HM14" s="4"/>
    </row>
    <row r="15" spans="1:231" ht="45" x14ac:dyDescent="0.25">
      <c r="A15" s="19" t="s">
        <v>299</v>
      </c>
      <c r="B15" s="13" t="s">
        <v>229</v>
      </c>
      <c r="C15" s="3">
        <v>61</v>
      </c>
      <c r="D15" s="4" t="s">
        <v>230</v>
      </c>
      <c r="E15" s="20"/>
      <c r="F15" s="4" t="s">
        <v>300</v>
      </c>
      <c r="G15" s="4" t="s">
        <v>301</v>
      </c>
      <c r="I15" s="4" t="s">
        <v>293</v>
      </c>
      <c r="J15" s="3"/>
      <c r="K15" s="3"/>
      <c r="L15" s="3">
        <f>Planilha1!$J15-Planilha1!$K15</f>
        <v>0</v>
      </c>
      <c r="M15" s="3"/>
      <c r="N15" s="4" t="s">
        <v>302</v>
      </c>
      <c r="T15" s="4" t="s">
        <v>303</v>
      </c>
      <c r="AR15" s="4" t="s">
        <v>304</v>
      </c>
      <c r="FC15" s="4" t="s">
        <v>305</v>
      </c>
      <c r="FG15" s="4" t="s">
        <v>306</v>
      </c>
      <c r="FL15" s="4" t="s">
        <v>307</v>
      </c>
      <c r="FQ15" s="4" t="s">
        <v>308</v>
      </c>
      <c r="FW15" s="4" t="s">
        <v>306</v>
      </c>
      <c r="FX15" s="4" t="s">
        <v>309</v>
      </c>
      <c r="FY15" s="4" t="s">
        <v>309</v>
      </c>
      <c r="GF15" s="4" t="s">
        <v>310</v>
      </c>
      <c r="GK15" s="4" t="s">
        <v>311</v>
      </c>
      <c r="HM15" s="4"/>
      <c r="HQ15" s="4" t="s">
        <v>308</v>
      </c>
    </row>
    <row r="16" spans="1:231" ht="30" x14ac:dyDescent="0.25">
      <c r="A16" s="19" t="s">
        <v>312</v>
      </c>
      <c r="B16" s="13" t="s">
        <v>229</v>
      </c>
      <c r="C16" s="3">
        <v>152</v>
      </c>
      <c r="D16" s="4" t="s">
        <v>230</v>
      </c>
      <c r="E16" s="4"/>
      <c r="F16" s="4" t="s">
        <v>300</v>
      </c>
      <c r="G16" s="4" t="s">
        <v>301</v>
      </c>
      <c r="I16" s="4" t="s">
        <v>293</v>
      </c>
      <c r="J16" s="3"/>
      <c r="K16" s="3"/>
      <c r="L16" s="3">
        <f>Planilha1!$J16-Planilha1!$K16</f>
        <v>0</v>
      </c>
      <c r="M16" s="3"/>
      <c r="R16" s="4" t="s">
        <v>313</v>
      </c>
      <c r="HI16" s="4" t="s">
        <v>314</v>
      </c>
      <c r="HM16" s="4"/>
    </row>
    <row r="17" spans="1:231" x14ac:dyDescent="0.25">
      <c r="A17" s="19" t="s">
        <v>315</v>
      </c>
      <c r="B17" s="13" t="s">
        <v>229</v>
      </c>
      <c r="C17" s="3">
        <v>1311</v>
      </c>
      <c r="D17" s="4" t="s">
        <v>230</v>
      </c>
      <c r="E17" s="4"/>
      <c r="F17" s="4" t="s">
        <v>316</v>
      </c>
      <c r="G17" s="4">
        <v>30</v>
      </c>
      <c r="I17" s="4" t="s">
        <v>317</v>
      </c>
      <c r="J17" s="3"/>
      <c r="K17" s="3"/>
      <c r="L17" s="3">
        <f>Planilha1!$J17-Planilha1!$K17</f>
        <v>0</v>
      </c>
      <c r="M17" s="3"/>
      <c r="GH17" s="4" t="s">
        <v>287</v>
      </c>
      <c r="HM17" s="4"/>
    </row>
    <row r="18" spans="1:231" ht="60" x14ac:dyDescent="0.25">
      <c r="A18" s="19" t="s">
        <v>318</v>
      </c>
      <c r="B18" s="13" t="s">
        <v>229</v>
      </c>
      <c r="C18" s="3">
        <v>1204</v>
      </c>
      <c r="D18" s="4" t="s">
        <v>230</v>
      </c>
      <c r="E18" s="4"/>
      <c r="F18" s="4" t="s">
        <v>231</v>
      </c>
      <c r="G18" s="4">
        <v>30</v>
      </c>
      <c r="I18" s="4" t="s">
        <v>293</v>
      </c>
      <c r="J18" s="3"/>
      <c r="K18" s="3"/>
      <c r="L18" s="3">
        <f>Planilha1!$J18-Planilha1!$K18</f>
        <v>0</v>
      </c>
      <c r="M18" s="3"/>
      <c r="N18" s="4" t="s">
        <v>235</v>
      </c>
      <c r="AR18" s="4" t="s">
        <v>319</v>
      </c>
      <c r="BA18" s="4" t="s">
        <v>320</v>
      </c>
      <c r="EY18" s="33"/>
      <c r="FR18" s="4" t="s">
        <v>321</v>
      </c>
      <c r="HA18" s="4" t="s">
        <v>322</v>
      </c>
      <c r="HM18" s="4"/>
    </row>
    <row r="19" spans="1:231" ht="60" x14ac:dyDescent="0.25">
      <c r="A19" s="19" t="s">
        <v>323</v>
      </c>
      <c r="B19" s="13" t="s">
        <v>229</v>
      </c>
      <c r="C19" s="3">
        <v>1191</v>
      </c>
      <c r="D19" s="4" t="s">
        <v>230</v>
      </c>
      <c r="E19" s="4"/>
      <c r="F19" s="4" t="s">
        <v>231</v>
      </c>
      <c r="G19" s="4">
        <v>30</v>
      </c>
      <c r="I19" s="4" t="s">
        <v>293</v>
      </c>
      <c r="J19" s="3"/>
      <c r="K19" s="3"/>
      <c r="L19" s="3">
        <f>Planilha1!$J19-Planilha1!$K19</f>
        <v>0</v>
      </c>
      <c r="M19" s="3"/>
      <c r="N19" s="4" t="s">
        <v>294</v>
      </c>
      <c r="AO19" s="4" t="s">
        <v>324</v>
      </c>
      <c r="AR19" s="4" t="s">
        <v>295</v>
      </c>
      <c r="EY19" s="33"/>
      <c r="FF19" s="4" t="s">
        <v>325</v>
      </c>
      <c r="GW19" s="4" t="s">
        <v>298</v>
      </c>
      <c r="HM19" s="4"/>
    </row>
    <row r="20" spans="1:231" x14ac:dyDescent="0.25">
      <c r="A20" s="19" t="s">
        <v>326</v>
      </c>
      <c r="B20" s="13" t="s">
        <v>229</v>
      </c>
      <c r="C20" s="3">
        <v>1006</v>
      </c>
      <c r="D20" s="4" t="s">
        <v>230</v>
      </c>
      <c r="E20" s="4"/>
      <c r="F20" s="4" t="s">
        <v>231</v>
      </c>
      <c r="G20" s="4" t="s">
        <v>301</v>
      </c>
      <c r="I20" s="4" t="s">
        <v>293</v>
      </c>
      <c r="J20" s="3"/>
      <c r="K20" s="3"/>
      <c r="L20" s="3">
        <f>Planilha1!$J20-Planilha1!$K20</f>
        <v>0</v>
      </c>
      <c r="M20" s="3"/>
      <c r="DJ20" s="4" t="s">
        <v>327</v>
      </c>
      <c r="EY20" s="33"/>
      <c r="FN20" s="4" t="s">
        <v>328</v>
      </c>
      <c r="HM20" s="4"/>
    </row>
    <row r="21" spans="1:231" x14ac:dyDescent="0.25">
      <c r="A21" s="19" t="s">
        <v>329</v>
      </c>
      <c r="B21" s="13" t="s">
        <v>229</v>
      </c>
      <c r="C21" s="3">
        <v>197</v>
      </c>
      <c r="D21" s="4" t="s">
        <v>230</v>
      </c>
      <c r="E21" s="4"/>
      <c r="F21" s="4" t="s">
        <v>231</v>
      </c>
      <c r="G21" s="4" t="s">
        <v>301</v>
      </c>
      <c r="I21" s="4" t="s">
        <v>233</v>
      </c>
      <c r="J21" s="3"/>
      <c r="K21" s="3"/>
      <c r="L21" s="3">
        <f>Planilha1!$J21-Planilha1!$K21</f>
        <v>0</v>
      </c>
      <c r="M21" s="3"/>
      <c r="AR21" s="4" t="s">
        <v>327</v>
      </c>
      <c r="HM21" s="4"/>
    </row>
    <row r="22" spans="1:231" ht="30" x14ac:dyDescent="0.25">
      <c r="A22" s="19" t="s">
        <v>330</v>
      </c>
      <c r="B22" s="13" t="s">
        <v>229</v>
      </c>
      <c r="C22" s="3"/>
      <c r="D22" s="4" t="s">
        <v>281</v>
      </c>
      <c r="E22" s="4" t="s">
        <v>331</v>
      </c>
      <c r="I22" s="4" t="s">
        <v>332</v>
      </c>
      <c r="J22" s="3"/>
      <c r="K22" s="3"/>
      <c r="L22" s="3">
        <f>Planilha1!$J22-Planilha1!$K22</f>
        <v>0</v>
      </c>
      <c r="M22" s="3"/>
      <c r="N22" s="4" t="s">
        <v>287</v>
      </c>
      <c r="AO22" s="4" t="s">
        <v>333</v>
      </c>
      <c r="CW22" s="4" t="s">
        <v>334</v>
      </c>
      <c r="DW22" s="4" t="s">
        <v>335</v>
      </c>
      <c r="GF22" s="4" t="s">
        <v>309</v>
      </c>
      <c r="HB22" s="4" t="s">
        <v>336</v>
      </c>
      <c r="HM22" s="4"/>
    </row>
    <row r="23" spans="1:231" x14ac:dyDescent="0.25">
      <c r="A23" s="19" t="s">
        <v>337</v>
      </c>
      <c r="B23" s="13" t="s">
        <v>229</v>
      </c>
      <c r="C23" s="3"/>
      <c r="D23" s="4" t="s">
        <v>281</v>
      </c>
      <c r="E23" s="4" t="s">
        <v>338</v>
      </c>
      <c r="I23" s="4" t="s">
        <v>332</v>
      </c>
      <c r="J23" s="3"/>
      <c r="K23" s="3"/>
      <c r="L23" s="3">
        <f>Planilha1!$J23-Planilha1!$K23</f>
        <v>0</v>
      </c>
      <c r="M23" s="3"/>
      <c r="FE23" s="4" t="s">
        <v>235</v>
      </c>
      <c r="HM23" s="4"/>
    </row>
    <row r="24" spans="1:231" ht="165" x14ac:dyDescent="0.25">
      <c r="A24" s="19" t="s">
        <v>339</v>
      </c>
      <c r="B24" s="13" t="s">
        <v>229</v>
      </c>
      <c r="C24" s="3"/>
      <c r="D24" s="4" t="s">
        <v>281</v>
      </c>
      <c r="E24" s="4" t="s">
        <v>340</v>
      </c>
      <c r="F24" s="4" t="s">
        <v>341</v>
      </c>
      <c r="I24" s="4" t="s">
        <v>285</v>
      </c>
      <c r="J24" s="3"/>
      <c r="K24" s="3"/>
      <c r="L24" s="3">
        <f>Planilha1!$J24-Planilha1!$K24</f>
        <v>0</v>
      </c>
      <c r="M24" s="3"/>
      <c r="DN24" s="4" t="s">
        <v>342</v>
      </c>
      <c r="HM24" s="4"/>
    </row>
    <row r="25" spans="1:231" ht="150" x14ac:dyDescent="0.25">
      <c r="A25" s="19" t="s">
        <v>343</v>
      </c>
      <c r="B25" s="13" t="s">
        <v>229</v>
      </c>
      <c r="C25" s="3"/>
      <c r="D25" s="4" t="s">
        <v>281</v>
      </c>
      <c r="E25" s="4" t="s">
        <v>344</v>
      </c>
      <c r="F25" s="4" t="s">
        <v>345</v>
      </c>
      <c r="I25" s="4" t="s">
        <v>285</v>
      </c>
      <c r="J25" s="3"/>
      <c r="K25" s="3"/>
      <c r="L25" s="3">
        <f>Planilha1!$J25-Planilha1!$K25</f>
        <v>0</v>
      </c>
      <c r="M25" s="3"/>
      <c r="DN25" s="4" t="s">
        <v>346</v>
      </c>
      <c r="HM25" s="4"/>
    </row>
    <row r="26" spans="1:231" x14ac:dyDescent="0.25">
      <c r="A26" s="19" t="s">
        <v>347</v>
      </c>
      <c r="B26" s="13" t="s">
        <v>229</v>
      </c>
      <c r="C26" s="3"/>
      <c r="D26" s="4" t="s">
        <v>281</v>
      </c>
      <c r="E26" s="4" t="s">
        <v>348</v>
      </c>
      <c r="F26" s="4" t="s">
        <v>349</v>
      </c>
      <c r="I26" s="4" t="s">
        <v>285</v>
      </c>
      <c r="J26" s="3"/>
      <c r="K26" s="3"/>
      <c r="L26" s="3">
        <f>Planilha1!$J26-Planilha1!$K26</f>
        <v>0</v>
      </c>
      <c r="M26" s="3"/>
      <c r="EO26" s="4" t="s">
        <v>350</v>
      </c>
      <c r="HM26" s="4"/>
    </row>
    <row r="27" spans="1:231" s="13" customFormat="1" x14ac:dyDescent="0.25">
      <c r="A27" s="12" t="s">
        <v>351</v>
      </c>
      <c r="B27" s="13" t="s">
        <v>229</v>
      </c>
      <c r="C27" s="13">
        <v>1051</v>
      </c>
      <c r="D27" s="13" t="s">
        <v>281</v>
      </c>
      <c r="E27" s="13" t="s">
        <v>282</v>
      </c>
      <c r="F27" s="13" t="s">
        <v>352</v>
      </c>
      <c r="G27" s="13" t="s">
        <v>353</v>
      </c>
      <c r="I27" s="13" t="s">
        <v>285</v>
      </c>
      <c r="L27" s="3">
        <f>Planilha1!$J27-Planilha1!$K27</f>
        <v>0</v>
      </c>
      <c r="M27" s="3"/>
      <c r="EU27" s="13" t="s">
        <v>354</v>
      </c>
      <c r="HL27" s="13" t="s">
        <v>235</v>
      </c>
      <c r="HW27" s="42"/>
    </row>
    <row r="28" spans="1:231" s="13" customFormat="1" ht="30" x14ac:dyDescent="0.25">
      <c r="A28" s="12" t="s">
        <v>355</v>
      </c>
      <c r="B28" s="13" t="s">
        <v>229</v>
      </c>
      <c r="C28" s="13">
        <v>1327</v>
      </c>
      <c r="D28" s="13" t="s">
        <v>281</v>
      </c>
      <c r="E28" s="13" t="s">
        <v>331</v>
      </c>
      <c r="F28" s="13" t="s">
        <v>356</v>
      </c>
      <c r="G28" s="13" t="s">
        <v>356</v>
      </c>
      <c r="I28" s="13" t="s">
        <v>332</v>
      </c>
      <c r="J28" s="13">
        <v>1</v>
      </c>
      <c r="K28" s="13">
        <v>0</v>
      </c>
      <c r="L28" s="17">
        <f>Planilha1!$J28-Planilha1!$K28</f>
        <v>1</v>
      </c>
      <c r="FX28" s="13" t="s">
        <v>235</v>
      </c>
      <c r="HW28" s="42"/>
    </row>
    <row r="29" spans="1:231" ht="30" x14ac:dyDescent="0.25">
      <c r="A29" s="19" t="s">
        <v>357</v>
      </c>
      <c r="B29" s="13" t="s">
        <v>229</v>
      </c>
      <c r="C29" s="3">
        <v>1199</v>
      </c>
      <c r="D29" s="4" t="s">
        <v>281</v>
      </c>
      <c r="E29" s="4" t="s">
        <v>282</v>
      </c>
      <c r="I29" s="4" t="s">
        <v>332</v>
      </c>
      <c r="J29" s="3"/>
      <c r="K29" s="3"/>
      <c r="L29" s="3">
        <f>Planilha1!$J29-Planilha1!$K29</f>
        <v>0</v>
      </c>
      <c r="M29" s="3"/>
      <c r="FQ29" s="4" t="s">
        <v>235</v>
      </c>
      <c r="HM29" s="4"/>
    </row>
    <row r="30" spans="1:231" x14ac:dyDescent="0.25">
      <c r="A30" s="19" t="s">
        <v>358</v>
      </c>
      <c r="B30" s="13" t="s">
        <v>229</v>
      </c>
      <c r="C30" s="3"/>
      <c r="D30" s="4" t="s">
        <v>281</v>
      </c>
      <c r="E30" s="4" t="s">
        <v>331</v>
      </c>
      <c r="I30" s="4" t="s">
        <v>332</v>
      </c>
      <c r="J30" s="3"/>
      <c r="K30" s="3"/>
      <c r="L30" s="3">
        <f>Planilha1!$J30-Planilha1!$K30</f>
        <v>0</v>
      </c>
      <c r="M30" s="3"/>
      <c r="GB30" s="4" t="s">
        <v>235</v>
      </c>
      <c r="HM30" s="4"/>
    </row>
    <row r="31" spans="1:231" s="13" customFormat="1" ht="30" x14ac:dyDescent="0.25">
      <c r="A31" s="12" t="s">
        <v>359</v>
      </c>
      <c r="B31" s="13" t="s">
        <v>229</v>
      </c>
      <c r="C31" s="13">
        <v>1306</v>
      </c>
      <c r="D31" s="13" t="s">
        <v>281</v>
      </c>
      <c r="E31" s="13" t="s">
        <v>360</v>
      </c>
      <c r="F31" s="13" t="s">
        <v>356</v>
      </c>
      <c r="G31" s="13" t="s">
        <v>356</v>
      </c>
      <c r="I31" s="13" t="s">
        <v>332</v>
      </c>
      <c r="J31" s="13">
        <v>1</v>
      </c>
      <c r="K31" s="13">
        <v>0</v>
      </c>
      <c r="L31" s="13">
        <f>Planilha1!$J31-Planilha1!$K31</f>
        <v>1</v>
      </c>
      <c r="GW31" s="13" t="s">
        <v>235</v>
      </c>
      <c r="HW31" s="42"/>
    </row>
    <row r="32" spans="1:231" s="13" customFormat="1" ht="30" x14ac:dyDescent="0.25">
      <c r="A32" s="12" t="s">
        <v>361</v>
      </c>
      <c r="B32" s="13" t="s">
        <v>229</v>
      </c>
      <c r="C32" s="13">
        <v>1333</v>
      </c>
      <c r="D32" s="13" t="s">
        <v>281</v>
      </c>
      <c r="E32" s="13" t="s">
        <v>282</v>
      </c>
      <c r="F32" s="13" t="s">
        <v>356</v>
      </c>
      <c r="G32" s="13" t="s">
        <v>356</v>
      </c>
      <c r="I32" s="13" t="s">
        <v>332</v>
      </c>
      <c r="J32" s="13">
        <v>1</v>
      </c>
      <c r="K32" s="13">
        <v>1</v>
      </c>
      <c r="L32" s="13">
        <f>Planilha1!$J32-Planilha1!$K32</f>
        <v>0</v>
      </c>
      <c r="GX32" s="13" t="s">
        <v>235</v>
      </c>
      <c r="HW32" s="42"/>
    </row>
    <row r="33" spans="1:231" s="13" customFormat="1" ht="48" customHeight="1" x14ac:dyDescent="0.25">
      <c r="A33" s="12" t="s">
        <v>362</v>
      </c>
      <c r="B33" s="13" t="s">
        <v>229</v>
      </c>
      <c r="C33" s="13">
        <v>1056</v>
      </c>
      <c r="D33" s="13" t="s">
        <v>281</v>
      </c>
      <c r="E33" s="13" t="s">
        <v>331</v>
      </c>
      <c r="F33" s="13" t="s">
        <v>356</v>
      </c>
      <c r="G33" s="13" t="s">
        <v>356</v>
      </c>
      <c r="I33" s="13" t="s">
        <v>332</v>
      </c>
      <c r="J33" s="13">
        <v>1</v>
      </c>
      <c r="K33" s="13">
        <v>1</v>
      </c>
      <c r="L33" s="17">
        <f>Planilha1!$J33-Planilha1!$K33</f>
        <v>0</v>
      </c>
      <c r="M33" s="13" t="s">
        <v>363</v>
      </c>
      <c r="EO33" s="13" t="s">
        <v>235</v>
      </c>
      <c r="HW33" s="42"/>
    </row>
    <row r="34" spans="1:231" ht="30" x14ac:dyDescent="0.25">
      <c r="A34" s="19" t="s">
        <v>364</v>
      </c>
      <c r="B34" s="13" t="s">
        <v>229</v>
      </c>
      <c r="C34" s="3"/>
      <c r="D34" s="4" t="s">
        <v>281</v>
      </c>
      <c r="E34" s="4" t="s">
        <v>331</v>
      </c>
      <c r="I34" s="4" t="s">
        <v>332</v>
      </c>
      <c r="J34" s="3"/>
      <c r="K34" s="3"/>
      <c r="L34" s="3">
        <f>Planilha1!$J34-Planilha1!$K34</f>
        <v>0</v>
      </c>
      <c r="M34" s="3"/>
      <c r="GB34" s="4" t="s">
        <v>235</v>
      </c>
      <c r="HM34" s="4"/>
    </row>
    <row r="35" spans="1:231" x14ac:dyDescent="0.25">
      <c r="A35" s="19" t="s">
        <v>365</v>
      </c>
      <c r="B35" s="13" t="s">
        <v>229</v>
      </c>
      <c r="C35" s="3"/>
      <c r="D35" s="4" t="s">
        <v>281</v>
      </c>
      <c r="E35" s="4" t="s">
        <v>331</v>
      </c>
      <c r="I35" s="4" t="s">
        <v>332</v>
      </c>
      <c r="J35" s="3"/>
      <c r="K35" s="3"/>
      <c r="L35" s="3">
        <f>Planilha1!$J35-Planilha1!$K35</f>
        <v>0</v>
      </c>
      <c r="M35" s="3"/>
      <c r="EO35" s="4" t="s">
        <v>235</v>
      </c>
      <c r="HM35" s="4"/>
    </row>
    <row r="36" spans="1:231" x14ac:dyDescent="0.25">
      <c r="A36" s="19" t="s">
        <v>366</v>
      </c>
      <c r="B36" s="13" t="s">
        <v>229</v>
      </c>
      <c r="C36" s="3"/>
      <c r="D36" s="4" t="s">
        <v>281</v>
      </c>
      <c r="E36" s="4" t="s">
        <v>331</v>
      </c>
      <c r="I36" s="4" t="s">
        <v>332</v>
      </c>
      <c r="J36" s="3"/>
      <c r="K36" s="3"/>
      <c r="L36" s="3">
        <f>Planilha1!$J36-Planilha1!$K36</f>
        <v>0</v>
      </c>
      <c r="M36" s="3"/>
      <c r="GC36" s="4" t="s">
        <v>235</v>
      </c>
      <c r="HM36" s="4"/>
    </row>
    <row r="37" spans="1:231" x14ac:dyDescent="0.25">
      <c r="A37" s="19" t="s">
        <v>367</v>
      </c>
      <c r="B37" s="13" t="s">
        <v>229</v>
      </c>
      <c r="C37" s="3"/>
      <c r="D37" s="4" t="s">
        <v>281</v>
      </c>
      <c r="E37" s="4" t="s">
        <v>331</v>
      </c>
      <c r="F37" s="4" t="s">
        <v>316</v>
      </c>
      <c r="I37" s="4" t="s">
        <v>285</v>
      </c>
      <c r="J37" s="3"/>
      <c r="K37" s="3"/>
      <c r="L37" s="3">
        <f>Planilha1!$J37-Planilha1!$K37</f>
        <v>0</v>
      </c>
      <c r="M37" s="3"/>
      <c r="EZ37" s="4" t="s">
        <v>368</v>
      </c>
      <c r="FM37" s="4" t="s">
        <v>369</v>
      </c>
      <c r="HM37" s="4"/>
    </row>
    <row r="38" spans="1:231" ht="30" x14ac:dyDescent="0.25">
      <c r="A38" s="19" t="s">
        <v>370</v>
      </c>
      <c r="B38" s="13" t="s">
        <v>229</v>
      </c>
      <c r="C38" s="3"/>
      <c r="D38" s="4" t="s">
        <v>281</v>
      </c>
      <c r="E38" s="4" t="s">
        <v>331</v>
      </c>
      <c r="I38" s="4" t="s">
        <v>332</v>
      </c>
      <c r="J38" s="3"/>
      <c r="K38" s="3"/>
      <c r="L38" s="3">
        <f>Planilha1!$J38-Planilha1!$K38</f>
        <v>0</v>
      </c>
      <c r="M38" s="3"/>
      <c r="EO38" s="4" t="s">
        <v>235</v>
      </c>
      <c r="HM38" s="4"/>
    </row>
    <row r="39" spans="1:231" x14ac:dyDescent="0.25">
      <c r="A39" s="19" t="s">
        <v>371</v>
      </c>
      <c r="B39" s="13" t="s">
        <v>229</v>
      </c>
      <c r="C39" s="3"/>
      <c r="D39" s="4" t="s">
        <v>281</v>
      </c>
      <c r="E39" s="4" t="s">
        <v>331</v>
      </c>
      <c r="I39" s="4" t="s">
        <v>332</v>
      </c>
      <c r="J39" s="3"/>
      <c r="K39" s="3"/>
      <c r="L39" s="3">
        <f>Planilha1!$J39-Planilha1!$K39</f>
        <v>0</v>
      </c>
      <c r="M39" s="3"/>
      <c r="EO39" s="4" t="s">
        <v>235</v>
      </c>
      <c r="ET39" s="4" t="s">
        <v>372</v>
      </c>
      <c r="HM39" s="4"/>
    </row>
    <row r="40" spans="1:231" x14ac:dyDescent="0.25">
      <c r="A40" s="19" t="s">
        <v>373</v>
      </c>
      <c r="B40" s="13" t="s">
        <v>229</v>
      </c>
      <c r="C40" s="3"/>
      <c r="D40" s="4" t="s">
        <v>281</v>
      </c>
      <c r="E40" s="4" t="s">
        <v>374</v>
      </c>
      <c r="F40" s="4" t="s">
        <v>292</v>
      </c>
      <c r="I40" s="4" t="s">
        <v>332</v>
      </c>
      <c r="J40" s="3"/>
      <c r="K40" s="3"/>
      <c r="L40" s="3">
        <f>Planilha1!$J40-Planilha1!$K40</f>
        <v>0</v>
      </c>
      <c r="M40" s="3"/>
      <c r="GI40" s="4" t="s">
        <v>375</v>
      </c>
      <c r="GP40" s="4" t="s">
        <v>376</v>
      </c>
      <c r="HM40" s="4"/>
      <c r="HN40" s="4" t="s">
        <v>235</v>
      </c>
    </row>
    <row r="41" spans="1:231" s="18" customFormat="1" ht="60" x14ac:dyDescent="0.25">
      <c r="A41" s="21" t="s">
        <v>377</v>
      </c>
      <c r="B41" s="13" t="s">
        <v>229</v>
      </c>
      <c r="C41" s="18">
        <v>1305</v>
      </c>
      <c r="D41" s="18" t="s">
        <v>281</v>
      </c>
      <c r="E41" s="18" t="s">
        <v>378</v>
      </c>
      <c r="F41" s="18" t="s">
        <v>379</v>
      </c>
      <c r="G41" s="39" t="s">
        <v>356</v>
      </c>
      <c r="I41" s="18" t="s">
        <v>332</v>
      </c>
      <c r="J41" s="18">
        <v>5</v>
      </c>
      <c r="K41" s="18">
        <v>4</v>
      </c>
      <c r="L41" s="18">
        <f>Planilha1!$J41-Planilha1!$K41</f>
        <v>1</v>
      </c>
      <c r="M41" s="18" t="s">
        <v>380</v>
      </c>
      <c r="HN41" s="18" t="s">
        <v>381</v>
      </c>
      <c r="HW41" s="43"/>
    </row>
    <row r="42" spans="1:231" s="18" customFormat="1" ht="30" x14ac:dyDescent="0.25">
      <c r="A42" s="21" t="s">
        <v>382</v>
      </c>
      <c r="B42" s="13" t="s">
        <v>229</v>
      </c>
      <c r="C42" s="18">
        <v>1321</v>
      </c>
      <c r="D42" s="18" t="s">
        <v>281</v>
      </c>
      <c r="E42" s="18" t="s">
        <v>282</v>
      </c>
      <c r="F42" s="18" t="s">
        <v>292</v>
      </c>
      <c r="G42" s="39" t="s">
        <v>356</v>
      </c>
      <c r="H42" s="39"/>
      <c r="I42" s="18" t="s">
        <v>332</v>
      </c>
      <c r="J42" s="18">
        <v>2</v>
      </c>
      <c r="K42" s="18">
        <v>2</v>
      </c>
      <c r="L42" s="18">
        <f>Planilha1!$J42-Planilha1!$K42</f>
        <v>0</v>
      </c>
      <c r="M42" s="18" t="s">
        <v>380</v>
      </c>
      <c r="HN42" s="18" t="s">
        <v>287</v>
      </c>
      <c r="HW42" s="43"/>
    </row>
    <row r="43" spans="1:231" s="18" customFormat="1" ht="30" x14ac:dyDescent="0.25">
      <c r="A43" s="21" t="s">
        <v>383</v>
      </c>
      <c r="B43" s="13" t="s">
        <v>229</v>
      </c>
      <c r="C43" s="18">
        <v>1183</v>
      </c>
      <c r="D43" s="18" t="s">
        <v>281</v>
      </c>
      <c r="E43" s="18" t="s">
        <v>331</v>
      </c>
      <c r="F43" s="18" t="s">
        <v>356</v>
      </c>
      <c r="G43" s="39" t="s">
        <v>356</v>
      </c>
      <c r="H43" s="39"/>
      <c r="I43" s="18" t="s">
        <v>332</v>
      </c>
      <c r="J43" s="18">
        <v>3</v>
      </c>
      <c r="K43" s="18">
        <v>3</v>
      </c>
      <c r="L43" s="18">
        <f>Planilha1!$J43-Planilha1!$K43</f>
        <v>0</v>
      </c>
      <c r="M43" s="18" t="s">
        <v>384</v>
      </c>
      <c r="FC43" s="18" t="s">
        <v>385</v>
      </c>
      <c r="HW43" s="43"/>
    </row>
    <row r="44" spans="1:231" s="18" customFormat="1" ht="30" x14ac:dyDescent="0.25">
      <c r="A44" s="21" t="s">
        <v>386</v>
      </c>
      <c r="B44" s="13" t="s">
        <v>229</v>
      </c>
      <c r="C44" s="18">
        <v>1188</v>
      </c>
      <c r="D44" s="18" t="s">
        <v>281</v>
      </c>
      <c r="E44" s="18" t="s">
        <v>331</v>
      </c>
      <c r="F44" s="18" t="s">
        <v>356</v>
      </c>
      <c r="G44" s="39" t="s">
        <v>356</v>
      </c>
      <c r="H44" s="39"/>
      <c r="I44" s="18" t="s">
        <v>285</v>
      </c>
      <c r="J44" s="18">
        <v>2</v>
      </c>
      <c r="K44" s="18">
        <v>2</v>
      </c>
      <c r="L44" s="18">
        <f>Planilha1!$J44-Planilha1!$K44</f>
        <v>0</v>
      </c>
      <c r="M44" s="18" t="s">
        <v>1064</v>
      </c>
      <c r="FC44" s="18" t="s">
        <v>235</v>
      </c>
      <c r="FQ44" s="18" t="s">
        <v>350</v>
      </c>
      <c r="GF44" s="18" t="s">
        <v>350</v>
      </c>
      <c r="HU44" s="18" t="s">
        <v>387</v>
      </c>
      <c r="HW44" s="43"/>
    </row>
    <row r="45" spans="1:231" s="38" customFormat="1" ht="30" x14ac:dyDescent="0.25">
      <c r="A45" s="35" t="s">
        <v>388</v>
      </c>
      <c r="B45" s="13" t="s">
        <v>229</v>
      </c>
      <c r="C45" s="37">
        <v>1081</v>
      </c>
      <c r="D45" s="38" t="s">
        <v>281</v>
      </c>
      <c r="E45" s="38" t="s">
        <v>331</v>
      </c>
      <c r="F45" s="39" t="s">
        <v>356</v>
      </c>
      <c r="G45" s="39" t="s">
        <v>356</v>
      </c>
      <c r="H45" s="39"/>
      <c r="I45" s="38" t="s">
        <v>332</v>
      </c>
      <c r="J45" s="37">
        <v>1</v>
      </c>
      <c r="K45" s="37">
        <v>1</v>
      </c>
      <c r="L45" s="37">
        <f>Planilha1!$J45-Planilha1!$K45</f>
        <v>0</v>
      </c>
      <c r="M45" s="39" t="s">
        <v>1065</v>
      </c>
      <c r="EO45" s="38" t="s">
        <v>235</v>
      </c>
      <c r="HW45" s="41"/>
    </row>
    <row r="46" spans="1:231" ht="75" x14ac:dyDescent="0.25">
      <c r="A46" s="2" t="s">
        <v>389</v>
      </c>
      <c r="B46" s="13" t="s">
        <v>390</v>
      </c>
      <c r="C46" s="3"/>
      <c r="D46" s="4" t="s">
        <v>281</v>
      </c>
      <c r="E46" s="4" t="s">
        <v>331</v>
      </c>
      <c r="I46" s="4" t="s">
        <v>285</v>
      </c>
      <c r="J46" s="3"/>
      <c r="K46" s="3"/>
      <c r="L46" s="3">
        <f>Planilha1!$J46-Planilha1!$K46</f>
        <v>0</v>
      </c>
      <c r="M46" s="3"/>
      <c r="AT46" s="4" t="s">
        <v>391</v>
      </c>
      <c r="CX46" s="4" t="s">
        <v>392</v>
      </c>
      <c r="DQ46" s="4" t="s">
        <v>393</v>
      </c>
      <c r="DU46" s="4" t="s">
        <v>394</v>
      </c>
      <c r="HM46" s="4"/>
    </row>
    <row r="47" spans="1:231" s="38" customFormat="1" ht="30" x14ac:dyDescent="0.25">
      <c r="A47" s="35" t="s">
        <v>395</v>
      </c>
      <c r="B47" s="13" t="s">
        <v>229</v>
      </c>
      <c r="C47" s="37">
        <v>1193</v>
      </c>
      <c r="D47" s="38" t="s">
        <v>281</v>
      </c>
      <c r="E47" s="38" t="s">
        <v>331</v>
      </c>
      <c r="F47" s="39" t="s">
        <v>356</v>
      </c>
      <c r="G47" s="39" t="s">
        <v>356</v>
      </c>
      <c r="H47" s="39"/>
      <c r="I47" s="38" t="s">
        <v>332</v>
      </c>
      <c r="J47" s="37">
        <v>1</v>
      </c>
      <c r="K47" s="37">
        <v>1</v>
      </c>
      <c r="L47" s="37">
        <f>Planilha1!$J47-Planilha1!$K47</f>
        <v>0</v>
      </c>
      <c r="M47" s="36" t="s">
        <v>289</v>
      </c>
      <c r="FE47" s="38" t="s">
        <v>235</v>
      </c>
      <c r="HW47" s="41"/>
    </row>
    <row r="48" spans="1:231" s="38" customFormat="1" ht="30" x14ac:dyDescent="0.25">
      <c r="A48" s="35" t="s">
        <v>396</v>
      </c>
      <c r="B48" s="13" t="s">
        <v>229</v>
      </c>
      <c r="C48" s="37">
        <v>146</v>
      </c>
      <c r="D48" s="38" t="s">
        <v>281</v>
      </c>
      <c r="E48" s="38" t="s">
        <v>331</v>
      </c>
      <c r="G48" s="39" t="s">
        <v>356</v>
      </c>
      <c r="H48" s="39"/>
      <c r="I48" s="38" t="s">
        <v>397</v>
      </c>
      <c r="J48" s="37">
        <v>1</v>
      </c>
      <c r="K48" s="37">
        <v>1</v>
      </c>
      <c r="L48" s="37">
        <f>Planilha1!$J48-Planilha1!$K48</f>
        <v>0</v>
      </c>
      <c r="M48" s="37"/>
      <c r="GD48" s="38" t="s">
        <v>235</v>
      </c>
    </row>
    <row r="49" spans="1:231" s="38" customFormat="1" ht="30" x14ac:dyDescent="0.25">
      <c r="A49" s="35" t="s">
        <v>1066</v>
      </c>
      <c r="B49" s="36" t="s">
        <v>390</v>
      </c>
      <c r="C49" s="37"/>
      <c r="D49" s="38" t="s">
        <v>281</v>
      </c>
      <c r="E49" s="38" t="s">
        <v>338</v>
      </c>
      <c r="F49" s="39"/>
      <c r="G49" s="39" t="s">
        <v>356</v>
      </c>
      <c r="I49" s="38" t="s">
        <v>397</v>
      </c>
      <c r="J49" s="37"/>
      <c r="K49" s="37"/>
      <c r="L49" s="37">
        <f>Planilha1!$J49-Planilha1!$K49</f>
        <v>0</v>
      </c>
      <c r="M49" s="37"/>
      <c r="AO49" s="38" t="s">
        <v>235</v>
      </c>
      <c r="EO49" s="38" t="s">
        <v>398</v>
      </c>
    </row>
    <row r="50" spans="1:231" s="38" customFormat="1" ht="30" x14ac:dyDescent="0.25">
      <c r="A50" s="35" t="s">
        <v>399</v>
      </c>
      <c r="B50" s="36" t="s">
        <v>229</v>
      </c>
      <c r="C50" s="37">
        <v>1322</v>
      </c>
      <c r="D50" s="38" t="s">
        <v>281</v>
      </c>
      <c r="E50" s="38" t="s">
        <v>282</v>
      </c>
      <c r="F50" s="38" t="s">
        <v>356</v>
      </c>
      <c r="G50" s="39" t="s">
        <v>356</v>
      </c>
      <c r="I50" s="38" t="s">
        <v>400</v>
      </c>
      <c r="J50" s="37">
        <v>2</v>
      </c>
      <c r="K50" s="37">
        <v>2</v>
      </c>
      <c r="L50" s="37">
        <f>Planilha1!$J50-Planilha1!$K50</f>
        <v>0</v>
      </c>
      <c r="M50" s="37"/>
      <c r="HN50" s="38" t="s">
        <v>287</v>
      </c>
    </row>
    <row r="51" spans="1:231" s="38" customFormat="1" ht="30" x14ac:dyDescent="0.25">
      <c r="A51" s="35" t="s">
        <v>401</v>
      </c>
      <c r="B51" s="36" t="s">
        <v>229</v>
      </c>
      <c r="C51" s="37">
        <v>1324</v>
      </c>
      <c r="D51" s="38" t="s">
        <v>281</v>
      </c>
      <c r="E51" s="38" t="s">
        <v>282</v>
      </c>
      <c r="F51" s="38" t="s">
        <v>356</v>
      </c>
      <c r="G51" s="39" t="s">
        <v>356</v>
      </c>
      <c r="I51" s="38" t="s">
        <v>400</v>
      </c>
      <c r="J51" s="37"/>
      <c r="K51" s="37"/>
      <c r="L51" s="37">
        <f>Planilha1!$J51-Planilha1!$K51</f>
        <v>0</v>
      </c>
      <c r="M51" s="37"/>
      <c r="HN51" s="38" t="s">
        <v>287</v>
      </c>
    </row>
    <row r="52" spans="1:231" ht="36.75" customHeight="1" x14ac:dyDescent="0.25">
      <c r="A52" s="19" t="s">
        <v>402</v>
      </c>
      <c r="B52" s="13" t="s">
        <v>552</v>
      </c>
      <c r="C52" s="3"/>
      <c r="D52" s="4" t="s">
        <v>281</v>
      </c>
      <c r="E52" s="4" t="s">
        <v>282</v>
      </c>
      <c r="I52" s="4" t="s">
        <v>400</v>
      </c>
      <c r="J52" s="3"/>
      <c r="K52" s="3"/>
      <c r="L52" s="3">
        <f>Planilha1!$J52-Planilha1!$K52</f>
        <v>0</v>
      </c>
      <c r="M52" s="3"/>
      <c r="GP52" s="4" t="s">
        <v>403</v>
      </c>
      <c r="HM52" s="4"/>
    </row>
    <row r="53" spans="1:231" ht="30" x14ac:dyDescent="0.25">
      <c r="A53" s="19" t="s">
        <v>404</v>
      </c>
      <c r="B53" s="13" t="s">
        <v>552</v>
      </c>
      <c r="C53" s="3"/>
      <c r="D53" s="4" t="s">
        <v>281</v>
      </c>
      <c r="E53" s="4" t="s">
        <v>282</v>
      </c>
      <c r="I53" s="4" t="s">
        <v>400</v>
      </c>
      <c r="J53" s="3"/>
      <c r="K53" s="3"/>
      <c r="L53" s="3">
        <f>Planilha1!$J53-Planilha1!$K53</f>
        <v>0</v>
      </c>
      <c r="M53" s="3"/>
      <c r="GP53" s="4" t="s">
        <v>403</v>
      </c>
      <c r="HM53" s="4"/>
    </row>
    <row r="54" spans="1:231" s="38" customFormat="1" x14ac:dyDescent="0.25">
      <c r="A54" s="35" t="s">
        <v>405</v>
      </c>
      <c r="B54" s="36" t="s">
        <v>229</v>
      </c>
      <c r="C54" s="37"/>
      <c r="D54" s="38" t="s">
        <v>281</v>
      </c>
      <c r="E54" s="38" t="s">
        <v>282</v>
      </c>
      <c r="I54" s="38" t="s">
        <v>406</v>
      </c>
      <c r="J54" s="37">
        <v>2</v>
      </c>
      <c r="K54" s="37">
        <v>2</v>
      </c>
      <c r="L54" s="37">
        <f>Planilha1!$J54-Planilha1!$K54</f>
        <v>0</v>
      </c>
      <c r="M54" s="37"/>
      <c r="HN54" s="38" t="s">
        <v>287</v>
      </c>
    </row>
    <row r="55" spans="1:231" ht="30" x14ac:dyDescent="0.25">
      <c r="A55" s="19" t="s">
        <v>407</v>
      </c>
      <c r="B55" s="13" t="s">
        <v>552</v>
      </c>
      <c r="C55" s="3"/>
      <c r="D55" s="4" t="s">
        <v>281</v>
      </c>
      <c r="E55" s="4" t="s">
        <v>282</v>
      </c>
      <c r="I55" s="4" t="s">
        <v>406</v>
      </c>
      <c r="J55" s="3"/>
      <c r="K55" s="3"/>
      <c r="L55" s="3">
        <f>Planilha1!$J55-Planilha1!$K55</f>
        <v>0</v>
      </c>
      <c r="M55" s="3"/>
      <c r="GP55" s="4" t="s">
        <v>403</v>
      </c>
      <c r="HM55" s="4"/>
    </row>
    <row r="56" spans="1:231" ht="30" x14ac:dyDescent="0.25">
      <c r="A56" s="19" t="s">
        <v>408</v>
      </c>
      <c r="B56" s="13" t="s">
        <v>552</v>
      </c>
      <c r="C56" s="3"/>
      <c r="D56" s="4" t="s">
        <v>281</v>
      </c>
      <c r="E56" s="4" t="s">
        <v>282</v>
      </c>
      <c r="I56" s="4" t="s">
        <v>406</v>
      </c>
      <c r="J56" s="3"/>
      <c r="K56" s="3"/>
      <c r="L56" s="3">
        <f>Planilha1!$J56-Planilha1!$K56</f>
        <v>0</v>
      </c>
      <c r="M56" s="3"/>
      <c r="GP56" s="4" t="s">
        <v>403</v>
      </c>
      <c r="HM56" s="4"/>
    </row>
    <row r="57" spans="1:231" s="23" customFormat="1" x14ac:dyDescent="0.25">
      <c r="A57" s="22" t="s">
        <v>409</v>
      </c>
      <c r="B57" s="13" t="s">
        <v>229</v>
      </c>
      <c r="C57" s="3"/>
      <c r="D57" s="23" t="s">
        <v>281</v>
      </c>
      <c r="E57" s="23" t="s">
        <v>282</v>
      </c>
      <c r="F57" s="23" t="s">
        <v>410</v>
      </c>
      <c r="I57" s="23" t="s">
        <v>400</v>
      </c>
      <c r="J57" s="3"/>
      <c r="K57" s="3"/>
      <c r="L57" s="3">
        <f>Planilha1!$J57-Planilha1!$K57</f>
        <v>0</v>
      </c>
      <c r="M57" s="3"/>
      <c r="HL57" s="23" t="s">
        <v>368</v>
      </c>
      <c r="HW57" s="44"/>
    </row>
    <row r="58" spans="1:231" ht="30" x14ac:dyDescent="0.25">
      <c r="A58" s="19" t="s">
        <v>411</v>
      </c>
      <c r="B58" s="13" t="s">
        <v>229</v>
      </c>
      <c r="C58" s="3">
        <v>1270</v>
      </c>
      <c r="D58" s="4" t="s">
        <v>281</v>
      </c>
      <c r="E58" s="23" t="s">
        <v>282</v>
      </c>
      <c r="F58" s="38" t="s">
        <v>356</v>
      </c>
      <c r="G58" s="39" t="s">
        <v>356</v>
      </c>
      <c r="I58" s="4" t="s">
        <v>406</v>
      </c>
      <c r="J58" s="3">
        <v>1</v>
      </c>
      <c r="K58" s="3">
        <v>1</v>
      </c>
      <c r="L58" s="3">
        <f>Planilha1!$J58-Planilha1!$K58</f>
        <v>0</v>
      </c>
      <c r="M58" s="3"/>
      <c r="EX58" s="4" t="s">
        <v>235</v>
      </c>
      <c r="HM58" s="4"/>
    </row>
    <row r="59" spans="1:231" ht="45" x14ac:dyDescent="0.25">
      <c r="A59" s="19" t="s">
        <v>412</v>
      </c>
      <c r="B59" s="13" t="s">
        <v>229</v>
      </c>
      <c r="C59" s="3"/>
      <c r="D59" s="4" t="s">
        <v>230</v>
      </c>
      <c r="E59" s="4"/>
      <c r="F59" s="4" t="s">
        <v>231</v>
      </c>
      <c r="G59" s="4">
        <v>20</v>
      </c>
      <c r="I59" s="4" t="s">
        <v>293</v>
      </c>
      <c r="J59" s="3"/>
      <c r="K59" s="3"/>
      <c r="L59" s="3">
        <f>Planilha1!$J59-Planilha1!$K59</f>
        <v>0</v>
      </c>
      <c r="M59" s="3"/>
      <c r="N59" s="4" t="s">
        <v>385</v>
      </c>
      <c r="V59" s="4" t="s">
        <v>413</v>
      </c>
      <c r="Y59" s="4" t="s">
        <v>414</v>
      </c>
      <c r="AR59" s="4" t="s">
        <v>244</v>
      </c>
      <c r="CI59" s="4" t="s">
        <v>415</v>
      </c>
      <c r="DC59" s="4" t="s">
        <v>416</v>
      </c>
      <c r="DE59" s="4" t="s">
        <v>417</v>
      </c>
      <c r="DR59" s="4" t="s">
        <v>418</v>
      </c>
      <c r="EM59" s="4" t="s">
        <v>419</v>
      </c>
      <c r="GQ59" s="4" t="s">
        <v>420</v>
      </c>
      <c r="HK59" s="4" t="s">
        <v>328</v>
      </c>
      <c r="HM59" s="4"/>
      <c r="HP59" s="4" t="s">
        <v>421</v>
      </c>
    </row>
    <row r="60" spans="1:231" ht="135" x14ac:dyDescent="0.25">
      <c r="A60" s="19" t="s">
        <v>422</v>
      </c>
      <c r="B60" s="13" t="s">
        <v>229</v>
      </c>
      <c r="C60" s="3"/>
      <c r="D60" s="4" t="s">
        <v>230</v>
      </c>
      <c r="E60" s="4"/>
      <c r="F60" s="4" t="s">
        <v>231</v>
      </c>
      <c r="G60" s="4" t="s">
        <v>301</v>
      </c>
      <c r="I60" s="4" t="s">
        <v>233</v>
      </c>
      <c r="J60" s="3"/>
      <c r="K60" s="3"/>
      <c r="L60" s="3">
        <f>Planilha1!$J60-Planilha1!$K60</f>
        <v>0</v>
      </c>
      <c r="M60" s="3"/>
      <c r="BH60" s="4" t="s">
        <v>423</v>
      </c>
      <c r="BZ60" s="4" t="s">
        <v>424</v>
      </c>
      <c r="CE60" s="4" t="s">
        <v>425</v>
      </c>
      <c r="CJ60" s="4" t="s">
        <v>426</v>
      </c>
      <c r="DZ60" s="4" t="s">
        <v>427</v>
      </c>
      <c r="EC60" s="4" t="s">
        <v>427</v>
      </c>
      <c r="HM60" s="4"/>
    </row>
    <row r="61" spans="1:231" x14ac:dyDescent="0.25">
      <c r="A61" s="19" t="s">
        <v>428</v>
      </c>
      <c r="B61" s="13" t="s">
        <v>552</v>
      </c>
      <c r="C61" s="3"/>
      <c r="D61" s="4" t="s">
        <v>281</v>
      </c>
      <c r="E61" s="4" t="s">
        <v>331</v>
      </c>
      <c r="I61" s="4" t="s">
        <v>397</v>
      </c>
      <c r="J61" s="3"/>
      <c r="K61" s="3"/>
      <c r="L61" s="3">
        <f>Planilha1!$J61-Planilha1!$K61</f>
        <v>0</v>
      </c>
      <c r="M61" s="3"/>
      <c r="S61" s="4" t="s">
        <v>235</v>
      </c>
      <c r="HM61" s="4"/>
    </row>
    <row r="62" spans="1:231" ht="60" x14ac:dyDescent="0.25">
      <c r="A62" s="19" t="s">
        <v>429</v>
      </c>
      <c r="B62" s="13" t="s">
        <v>229</v>
      </c>
      <c r="C62" s="3"/>
      <c r="D62" s="4" t="s">
        <v>230</v>
      </c>
      <c r="E62" s="4"/>
      <c r="F62" s="4" t="s">
        <v>430</v>
      </c>
      <c r="G62" s="4">
        <v>20</v>
      </c>
      <c r="I62" s="4" t="s">
        <v>293</v>
      </c>
      <c r="J62" s="3"/>
      <c r="K62" s="3"/>
      <c r="L62" s="3">
        <f>Planilha1!$J62-Planilha1!$K62</f>
        <v>0</v>
      </c>
      <c r="M62" s="3"/>
      <c r="BH62" s="4" t="s">
        <v>431</v>
      </c>
      <c r="BZ62" s="4" t="s">
        <v>432</v>
      </c>
      <c r="DZ62" s="4" t="s">
        <v>433</v>
      </c>
      <c r="EC62" s="4" t="s">
        <v>434</v>
      </c>
      <c r="FD62" s="4" t="s">
        <v>435</v>
      </c>
      <c r="GE62" s="4" t="s">
        <v>436</v>
      </c>
      <c r="HM62" s="4"/>
    </row>
    <row r="63" spans="1:231" ht="75" x14ac:dyDescent="0.25">
      <c r="A63" s="19" t="s">
        <v>437</v>
      </c>
      <c r="B63" s="13" t="s">
        <v>229</v>
      </c>
      <c r="C63" s="3"/>
      <c r="D63" s="4" t="s">
        <v>230</v>
      </c>
      <c r="E63" s="4"/>
      <c r="F63" s="4" t="s">
        <v>438</v>
      </c>
      <c r="G63" s="4">
        <v>20</v>
      </c>
      <c r="I63" s="4" t="s">
        <v>293</v>
      </c>
      <c r="J63" s="3"/>
      <c r="K63" s="3"/>
      <c r="L63" s="3">
        <f>Planilha1!$J63-Planilha1!$K63</f>
        <v>0</v>
      </c>
      <c r="M63" s="3"/>
      <c r="GE63" s="4" t="s">
        <v>439</v>
      </c>
      <c r="HM63" s="4"/>
    </row>
    <row r="64" spans="1:231" ht="45" x14ac:dyDescent="0.25">
      <c r="A64" s="19" t="s">
        <v>440</v>
      </c>
      <c r="B64" s="13" t="s">
        <v>229</v>
      </c>
      <c r="C64" s="3"/>
      <c r="D64" s="4" t="s">
        <v>230</v>
      </c>
      <c r="E64" s="4"/>
      <c r="F64" s="4" t="s">
        <v>441</v>
      </c>
      <c r="G64" s="4">
        <v>20</v>
      </c>
      <c r="I64" s="4" t="s">
        <v>293</v>
      </c>
      <c r="J64" s="3"/>
      <c r="K64" s="3"/>
      <c r="L64" s="3">
        <f>Planilha1!$J64-Planilha1!$K64</f>
        <v>0</v>
      </c>
      <c r="M64" s="3"/>
      <c r="DZ64" s="4" t="s">
        <v>442</v>
      </c>
      <c r="GE64" s="4" t="s">
        <v>443</v>
      </c>
      <c r="HM64" s="4"/>
    </row>
    <row r="65" spans="1:221" ht="45" x14ac:dyDescent="0.25">
      <c r="A65" s="19" t="s">
        <v>444</v>
      </c>
      <c r="B65" s="13" t="s">
        <v>229</v>
      </c>
      <c r="C65" s="3"/>
      <c r="D65" s="4" t="s">
        <v>230</v>
      </c>
      <c r="E65" s="4"/>
      <c r="F65" s="4" t="s">
        <v>316</v>
      </c>
      <c r="G65" s="4">
        <v>20</v>
      </c>
      <c r="I65" s="4" t="s">
        <v>293</v>
      </c>
      <c r="J65" s="3"/>
      <c r="K65" s="3"/>
      <c r="L65" s="3">
        <f>Planilha1!$J65-Planilha1!$K65</f>
        <v>0</v>
      </c>
      <c r="M65" s="3"/>
      <c r="DZ65" s="4" t="s">
        <v>445</v>
      </c>
      <c r="EC65" s="4" t="s">
        <v>446</v>
      </c>
      <c r="GE65" s="4" t="s">
        <v>436</v>
      </c>
      <c r="HM65" s="4"/>
    </row>
    <row r="66" spans="1:221" ht="60" x14ac:dyDescent="0.25">
      <c r="A66" s="19" t="s">
        <v>447</v>
      </c>
      <c r="B66" s="13" t="s">
        <v>229</v>
      </c>
      <c r="C66" s="3"/>
      <c r="D66" s="4" t="s">
        <v>230</v>
      </c>
      <c r="E66" s="4"/>
      <c r="F66" s="4" t="s">
        <v>448</v>
      </c>
      <c r="G66" s="4">
        <v>20</v>
      </c>
      <c r="I66" s="4" t="s">
        <v>293</v>
      </c>
      <c r="J66" s="3"/>
      <c r="K66" s="3"/>
      <c r="L66" s="3">
        <f>Planilha1!$J66-Planilha1!$K66</f>
        <v>0</v>
      </c>
      <c r="M66" s="3"/>
      <c r="BH66" s="4" t="s">
        <v>449</v>
      </c>
      <c r="DZ66" s="4" t="s">
        <v>450</v>
      </c>
      <c r="EC66" s="4" t="s">
        <v>451</v>
      </c>
      <c r="GE66" s="4" t="s">
        <v>436</v>
      </c>
      <c r="HM66" s="4"/>
    </row>
    <row r="67" spans="1:221" ht="45" x14ac:dyDescent="0.25">
      <c r="A67" s="19" t="s">
        <v>452</v>
      </c>
      <c r="B67" s="13" t="s">
        <v>229</v>
      </c>
      <c r="C67" s="3"/>
      <c r="D67" s="4" t="s">
        <v>230</v>
      </c>
      <c r="E67" s="4"/>
      <c r="F67" s="4" t="s">
        <v>430</v>
      </c>
      <c r="G67" s="4">
        <v>20</v>
      </c>
      <c r="I67" s="4" t="s">
        <v>293</v>
      </c>
      <c r="J67" s="3"/>
      <c r="K67" s="3"/>
      <c r="L67" s="3">
        <f>Planilha1!$J67-Planilha1!$K67</f>
        <v>0</v>
      </c>
      <c r="M67" s="3"/>
      <c r="DZ67" s="4" t="s">
        <v>453</v>
      </c>
      <c r="EC67" s="4" t="s">
        <v>454</v>
      </c>
      <c r="GE67" s="4" t="s">
        <v>436</v>
      </c>
      <c r="HM67" s="4"/>
    </row>
    <row r="68" spans="1:221" ht="45" x14ac:dyDescent="0.25">
      <c r="A68" s="19" t="s">
        <v>455</v>
      </c>
      <c r="B68" s="13" t="s">
        <v>229</v>
      </c>
      <c r="C68" s="3"/>
      <c r="D68" s="4" t="s">
        <v>230</v>
      </c>
      <c r="E68" s="4"/>
      <c r="F68" s="4" t="s">
        <v>231</v>
      </c>
      <c r="G68" s="4">
        <v>20</v>
      </c>
      <c r="I68" s="4" t="s">
        <v>293</v>
      </c>
      <c r="J68" s="3"/>
      <c r="K68" s="3"/>
      <c r="L68" s="3">
        <f>Planilha1!$J68-Planilha1!$K68</f>
        <v>0</v>
      </c>
      <c r="M68" s="3"/>
      <c r="DZ68" s="4" t="s">
        <v>456</v>
      </c>
      <c r="EC68" s="4" t="s">
        <v>457</v>
      </c>
      <c r="FD68" s="4" t="s">
        <v>458</v>
      </c>
      <c r="GE68" s="4" t="s">
        <v>436</v>
      </c>
      <c r="HM68" s="4"/>
    </row>
    <row r="69" spans="1:221" ht="30" x14ac:dyDescent="0.25">
      <c r="A69" s="19" t="s">
        <v>459</v>
      </c>
      <c r="B69" s="13" t="s">
        <v>229</v>
      </c>
      <c r="C69" s="3"/>
      <c r="D69" s="4" t="s">
        <v>230</v>
      </c>
      <c r="E69" s="4"/>
      <c r="F69" s="4" t="s">
        <v>460</v>
      </c>
      <c r="J69" s="3"/>
      <c r="K69" s="3"/>
      <c r="L69" s="3">
        <f>Planilha1!$J69-Planilha1!$K69</f>
        <v>0</v>
      </c>
      <c r="M69" s="3"/>
      <c r="AV69" s="4" t="s">
        <v>461</v>
      </c>
      <c r="DK69" s="4" t="s">
        <v>462</v>
      </c>
      <c r="HM69" s="4"/>
    </row>
    <row r="70" spans="1:221" ht="30" x14ac:dyDescent="0.25">
      <c r="A70" s="19" t="s">
        <v>463</v>
      </c>
      <c r="B70" s="13" t="s">
        <v>229</v>
      </c>
      <c r="C70" s="3"/>
      <c r="D70" s="4" t="s">
        <v>230</v>
      </c>
      <c r="E70" s="4"/>
      <c r="F70" s="4" t="s">
        <v>460</v>
      </c>
      <c r="G70" s="4" t="s">
        <v>301</v>
      </c>
      <c r="I70" s="4" t="s">
        <v>293</v>
      </c>
      <c r="J70" s="3"/>
      <c r="K70" s="3"/>
      <c r="L70" s="3">
        <f>Planilha1!$J70-Planilha1!$K70</f>
        <v>0</v>
      </c>
      <c r="M70" s="3"/>
      <c r="N70" s="4" t="s">
        <v>464</v>
      </c>
      <c r="O70" s="4" t="s">
        <v>465</v>
      </c>
      <c r="AR70" s="4" t="s">
        <v>466</v>
      </c>
      <c r="EF70" s="4" t="s">
        <v>420</v>
      </c>
      <c r="FS70" s="4" t="s">
        <v>467</v>
      </c>
      <c r="HM70" s="4"/>
    </row>
    <row r="71" spans="1:221" x14ac:dyDescent="0.25">
      <c r="A71" s="19" t="s">
        <v>468</v>
      </c>
      <c r="B71" s="13" t="s">
        <v>229</v>
      </c>
      <c r="C71" s="3"/>
      <c r="D71" s="4" t="s">
        <v>230</v>
      </c>
      <c r="E71" s="4"/>
      <c r="F71" s="4" t="s">
        <v>460</v>
      </c>
      <c r="G71" s="4" t="s">
        <v>301</v>
      </c>
      <c r="I71" s="4" t="s">
        <v>469</v>
      </c>
      <c r="J71" s="3"/>
      <c r="K71" s="3"/>
      <c r="L71" s="3">
        <f>Planilha1!$J71-Planilha1!$K71</f>
        <v>0</v>
      </c>
      <c r="M71" s="3"/>
      <c r="R71" s="4" t="s">
        <v>287</v>
      </c>
      <c r="HM71" s="4"/>
    </row>
    <row r="72" spans="1:221" ht="45" x14ac:dyDescent="0.25">
      <c r="A72" s="19" t="s">
        <v>470</v>
      </c>
      <c r="B72" s="13" t="s">
        <v>229</v>
      </c>
      <c r="C72" s="3"/>
      <c r="D72" s="4" t="s">
        <v>230</v>
      </c>
      <c r="E72" s="4"/>
      <c r="F72" s="4" t="s">
        <v>460</v>
      </c>
      <c r="G72" s="4" t="s">
        <v>301</v>
      </c>
      <c r="I72" s="4" t="s">
        <v>293</v>
      </c>
      <c r="J72" s="3"/>
      <c r="K72" s="3"/>
      <c r="L72" s="3">
        <f>Planilha1!$J72-Planilha1!$K72</f>
        <v>0</v>
      </c>
      <c r="M72" s="3"/>
      <c r="AR72" s="4" t="s">
        <v>471</v>
      </c>
      <c r="GJ72" s="4" t="s">
        <v>472</v>
      </c>
      <c r="HM72" s="4"/>
    </row>
    <row r="73" spans="1:221" ht="90" x14ac:dyDescent="0.25">
      <c r="A73" s="19" t="s">
        <v>473</v>
      </c>
      <c r="B73" s="13" t="s">
        <v>229</v>
      </c>
      <c r="C73" s="3"/>
      <c r="D73" s="4" t="s">
        <v>230</v>
      </c>
      <c r="E73" s="4"/>
      <c r="F73" s="4" t="s">
        <v>460</v>
      </c>
      <c r="G73" s="4" t="s">
        <v>301</v>
      </c>
      <c r="I73" s="4" t="s">
        <v>293</v>
      </c>
      <c r="J73" s="3"/>
      <c r="K73" s="3"/>
      <c r="L73" s="3">
        <f>Planilha1!$J73-Planilha1!$K73</f>
        <v>0</v>
      </c>
      <c r="M73" s="3"/>
      <c r="N73" s="4" t="s">
        <v>368</v>
      </c>
      <c r="AR73" s="4" t="s">
        <v>474</v>
      </c>
      <c r="AX73" s="4" t="s">
        <v>475</v>
      </c>
      <c r="HF73" s="4" t="s">
        <v>476</v>
      </c>
      <c r="HM73" s="4"/>
    </row>
    <row r="74" spans="1:221" x14ac:dyDescent="0.25">
      <c r="A74" s="19" t="s">
        <v>477</v>
      </c>
      <c r="B74" s="13" t="s">
        <v>229</v>
      </c>
      <c r="C74" s="3"/>
      <c r="D74" s="4" t="s">
        <v>230</v>
      </c>
      <c r="E74" s="4"/>
      <c r="F74" s="4" t="s">
        <v>460</v>
      </c>
      <c r="G74" s="4" t="s">
        <v>301</v>
      </c>
      <c r="I74" s="4" t="s">
        <v>469</v>
      </c>
      <c r="J74" s="3"/>
      <c r="K74" s="3"/>
      <c r="L74" s="3">
        <f>Planilha1!$J74-Planilha1!$K74</f>
        <v>0</v>
      </c>
      <c r="M74" s="3"/>
      <c r="N74" s="4" t="s">
        <v>368</v>
      </c>
      <c r="AR74" s="4" t="s">
        <v>478</v>
      </c>
      <c r="HM74" s="4"/>
    </row>
    <row r="75" spans="1:221" x14ac:dyDescent="0.25">
      <c r="A75" s="24" t="s">
        <v>479</v>
      </c>
      <c r="B75" s="13" t="s">
        <v>229</v>
      </c>
      <c r="C75" s="3"/>
      <c r="D75" s="4" t="s">
        <v>230</v>
      </c>
      <c r="E75" s="4"/>
      <c r="F75" s="4" t="s">
        <v>460</v>
      </c>
      <c r="G75" s="4" t="s">
        <v>301</v>
      </c>
      <c r="I75" s="4" t="s">
        <v>469</v>
      </c>
      <c r="J75" s="3"/>
      <c r="K75" s="3"/>
      <c r="L75" s="3">
        <f>Planilha1!$J75-Planilha1!$K75</f>
        <v>0</v>
      </c>
      <c r="M75" s="3"/>
      <c r="N75" s="4" t="s">
        <v>287</v>
      </c>
      <c r="AR75" s="4" t="s">
        <v>480</v>
      </c>
      <c r="HM75" s="4"/>
    </row>
    <row r="76" spans="1:221" x14ac:dyDescent="0.25">
      <c r="A76" s="19" t="s">
        <v>481</v>
      </c>
      <c r="B76" s="13" t="s">
        <v>229</v>
      </c>
      <c r="C76" s="3"/>
      <c r="D76" s="4" t="s">
        <v>230</v>
      </c>
      <c r="E76" s="4"/>
      <c r="F76" s="4" t="s">
        <v>292</v>
      </c>
      <c r="G76" s="4">
        <v>40</v>
      </c>
      <c r="I76" s="4" t="s">
        <v>482</v>
      </c>
      <c r="J76" s="3"/>
      <c r="K76" s="3"/>
      <c r="L76" s="3">
        <f>Planilha1!$J76-Planilha1!$K76</f>
        <v>0</v>
      </c>
      <c r="M76" s="3"/>
      <c r="GQ76" s="4" t="s">
        <v>287</v>
      </c>
      <c r="HM76" s="4"/>
    </row>
    <row r="77" spans="1:221" ht="30" x14ac:dyDescent="0.25">
      <c r="A77" s="19" t="s">
        <v>483</v>
      </c>
      <c r="B77" s="13" t="s">
        <v>229</v>
      </c>
      <c r="C77" s="3"/>
      <c r="D77" s="4" t="s">
        <v>230</v>
      </c>
      <c r="E77" s="4"/>
      <c r="F77" s="4" t="s">
        <v>460</v>
      </c>
      <c r="G77" s="4" t="s">
        <v>484</v>
      </c>
      <c r="I77" s="4" t="s">
        <v>293</v>
      </c>
      <c r="J77" s="3"/>
      <c r="K77" s="3"/>
      <c r="L77" s="3">
        <f>Planilha1!$J77-Planilha1!$K77</f>
        <v>0</v>
      </c>
      <c r="M77" s="3"/>
      <c r="N77" s="4" t="s">
        <v>485</v>
      </c>
      <c r="O77" s="4" t="s">
        <v>486</v>
      </c>
      <c r="X77" s="4" t="s">
        <v>487</v>
      </c>
      <c r="AR77" s="4" t="s">
        <v>488</v>
      </c>
      <c r="CM77" s="4" t="s">
        <v>489</v>
      </c>
      <c r="DB77" s="4" t="s">
        <v>490</v>
      </c>
      <c r="EJ77" s="4" t="s">
        <v>491</v>
      </c>
      <c r="FO77" s="4" t="s">
        <v>492</v>
      </c>
      <c r="GO77" s="4" t="s">
        <v>472</v>
      </c>
      <c r="HM77" s="4"/>
    </row>
    <row r="78" spans="1:221" ht="30" x14ac:dyDescent="0.25">
      <c r="A78" s="19" t="s">
        <v>493</v>
      </c>
      <c r="B78" s="13" t="s">
        <v>229</v>
      </c>
      <c r="C78" s="3"/>
      <c r="D78" s="4" t="s">
        <v>230</v>
      </c>
      <c r="E78" s="4"/>
      <c r="F78" s="4" t="s">
        <v>460</v>
      </c>
      <c r="G78" s="4">
        <v>30</v>
      </c>
      <c r="I78" s="4" t="s">
        <v>293</v>
      </c>
      <c r="J78" s="3"/>
      <c r="K78" s="3"/>
      <c r="L78" s="3">
        <f>Planilha1!$J78-Planilha1!$K78</f>
        <v>0</v>
      </c>
      <c r="M78" s="3"/>
      <c r="N78" s="4" t="s">
        <v>287</v>
      </c>
      <c r="AR78" s="4" t="s">
        <v>480</v>
      </c>
      <c r="GO78" s="4" t="s">
        <v>472</v>
      </c>
      <c r="GT78" s="4" t="s">
        <v>494</v>
      </c>
      <c r="HM78" s="4"/>
    </row>
    <row r="79" spans="1:221" ht="75" x14ac:dyDescent="0.25">
      <c r="A79" s="19" t="s">
        <v>495</v>
      </c>
      <c r="B79" s="13" t="s">
        <v>229</v>
      </c>
      <c r="C79" s="3"/>
      <c r="D79" s="4" t="s">
        <v>230</v>
      </c>
      <c r="E79" s="4"/>
      <c r="F79" s="4" t="s">
        <v>460</v>
      </c>
      <c r="G79" s="4">
        <v>40</v>
      </c>
      <c r="I79" s="4" t="s">
        <v>293</v>
      </c>
      <c r="J79" s="3"/>
      <c r="K79" s="3"/>
      <c r="L79" s="3">
        <f>Planilha1!$J79-Planilha1!$K79</f>
        <v>0</v>
      </c>
      <c r="M79" s="3"/>
      <c r="N79" s="4" t="s">
        <v>368</v>
      </c>
      <c r="AR79" s="4" t="s">
        <v>478</v>
      </c>
      <c r="FV79" s="4" t="s">
        <v>496</v>
      </c>
      <c r="HM79" s="4"/>
    </row>
    <row r="80" spans="1:221" ht="30" x14ac:dyDescent="0.25">
      <c r="A80" s="19" t="s">
        <v>497</v>
      </c>
      <c r="B80" s="13" t="s">
        <v>229</v>
      </c>
      <c r="C80" s="3"/>
      <c r="D80" s="4" t="s">
        <v>230</v>
      </c>
      <c r="E80" s="4"/>
      <c r="F80" s="4" t="s">
        <v>460</v>
      </c>
      <c r="G80" s="4" t="s">
        <v>301</v>
      </c>
      <c r="I80" s="4" t="s">
        <v>293</v>
      </c>
      <c r="J80" s="3"/>
      <c r="K80" s="3"/>
      <c r="L80" s="3">
        <f>Planilha1!$J80-Planilha1!$K80</f>
        <v>0</v>
      </c>
      <c r="M80" s="3"/>
      <c r="N80" s="4" t="s">
        <v>498</v>
      </c>
      <c r="O80" s="4" t="s">
        <v>499</v>
      </c>
      <c r="AR80" s="4" t="s">
        <v>500</v>
      </c>
      <c r="GO80" s="4" t="s">
        <v>472</v>
      </c>
      <c r="HM80" s="4"/>
    </row>
    <row r="81" spans="1:221" ht="60" x14ac:dyDescent="0.25">
      <c r="A81" s="19" t="s">
        <v>501</v>
      </c>
      <c r="B81" s="13" t="s">
        <v>229</v>
      </c>
      <c r="C81" s="3"/>
      <c r="D81" s="4" t="s">
        <v>230</v>
      </c>
      <c r="E81" s="4"/>
      <c r="F81" s="4" t="s">
        <v>502</v>
      </c>
      <c r="G81" s="4">
        <v>20</v>
      </c>
      <c r="I81" s="4" t="s">
        <v>293</v>
      </c>
      <c r="J81" s="3"/>
      <c r="K81" s="3"/>
      <c r="L81" s="3">
        <f>Planilha1!$J81-Planilha1!$K81</f>
        <v>0</v>
      </c>
      <c r="M81" s="3"/>
      <c r="N81" s="4" t="s">
        <v>368</v>
      </c>
      <c r="AR81" s="4" t="s">
        <v>478</v>
      </c>
      <c r="EH81" s="4" t="s">
        <v>503</v>
      </c>
      <c r="EK81" s="4" t="s">
        <v>420</v>
      </c>
      <c r="EP81" s="4" t="s">
        <v>504</v>
      </c>
      <c r="FI81" s="4" t="s">
        <v>505</v>
      </c>
      <c r="FV81" s="4" t="s">
        <v>506</v>
      </c>
      <c r="HH81" s="4" t="s">
        <v>507</v>
      </c>
      <c r="HM81" s="4"/>
    </row>
    <row r="82" spans="1:221" ht="30" x14ac:dyDescent="0.25">
      <c r="A82" s="19" t="s">
        <v>508</v>
      </c>
      <c r="B82" s="13" t="s">
        <v>229</v>
      </c>
      <c r="C82" s="3"/>
      <c r="D82" s="4" t="s">
        <v>230</v>
      </c>
      <c r="E82" s="4"/>
      <c r="F82" s="4" t="s">
        <v>231</v>
      </c>
      <c r="G82" s="4" t="s">
        <v>301</v>
      </c>
      <c r="I82" s="4" t="s">
        <v>293</v>
      </c>
      <c r="J82" s="3"/>
      <c r="K82" s="3"/>
      <c r="L82" s="3">
        <f>Planilha1!$J82-Planilha1!$K82</f>
        <v>0</v>
      </c>
      <c r="M82" s="3"/>
      <c r="N82" s="4" t="s">
        <v>235</v>
      </c>
      <c r="AR82" s="4" t="s">
        <v>319</v>
      </c>
      <c r="HK82" s="4" t="s">
        <v>328</v>
      </c>
      <c r="HM82" s="4"/>
    </row>
    <row r="83" spans="1:221" x14ac:dyDescent="0.25">
      <c r="A83" s="19" t="s">
        <v>509</v>
      </c>
      <c r="B83" s="13" t="s">
        <v>229</v>
      </c>
      <c r="C83" s="3"/>
      <c r="D83" s="4" t="s">
        <v>230</v>
      </c>
      <c r="E83" s="4"/>
      <c r="F83" s="4" t="s">
        <v>231</v>
      </c>
      <c r="G83" s="4" t="s">
        <v>301</v>
      </c>
      <c r="I83" s="4" t="s">
        <v>233</v>
      </c>
      <c r="J83" s="3"/>
      <c r="K83" s="3"/>
      <c r="L83" s="3">
        <f>Planilha1!$J83-Planilha1!$K83</f>
        <v>0</v>
      </c>
      <c r="M83" s="3"/>
      <c r="BS83" s="4" t="s">
        <v>235</v>
      </c>
      <c r="HM83" s="4"/>
    </row>
    <row r="84" spans="1:221" ht="30" x14ac:dyDescent="0.25">
      <c r="A84" s="19" t="s">
        <v>510</v>
      </c>
      <c r="B84" s="13" t="s">
        <v>229</v>
      </c>
      <c r="C84" s="3"/>
      <c r="D84" s="4" t="s">
        <v>230</v>
      </c>
      <c r="E84" s="4"/>
      <c r="F84" s="4" t="s">
        <v>231</v>
      </c>
      <c r="G84" s="4" t="s">
        <v>301</v>
      </c>
      <c r="I84" s="4" t="s">
        <v>293</v>
      </c>
      <c r="J84" s="3"/>
      <c r="K84" s="3"/>
      <c r="L84" s="3">
        <f>Planilha1!$J84-Planilha1!$K84</f>
        <v>0</v>
      </c>
      <c r="M84" s="3"/>
      <c r="BS84" s="4" t="s">
        <v>235</v>
      </c>
      <c r="CM84" s="4" t="s">
        <v>511</v>
      </c>
      <c r="HK84" s="4" t="s">
        <v>328</v>
      </c>
      <c r="HM84" s="4"/>
    </row>
    <row r="85" spans="1:221" ht="30" x14ac:dyDescent="0.25">
      <c r="A85" s="19" t="s">
        <v>512</v>
      </c>
      <c r="B85" s="13" t="s">
        <v>229</v>
      </c>
      <c r="C85" s="3"/>
      <c r="D85" s="4" t="s">
        <v>230</v>
      </c>
      <c r="E85" s="4"/>
      <c r="F85" s="4" t="s">
        <v>231</v>
      </c>
      <c r="G85" s="4" t="s">
        <v>301</v>
      </c>
      <c r="I85" s="4" t="s">
        <v>293</v>
      </c>
      <c r="J85" s="3"/>
      <c r="K85" s="3"/>
      <c r="L85" s="3">
        <f>Planilha1!$J85-Planilha1!$K85</f>
        <v>0</v>
      </c>
      <c r="M85" s="3"/>
      <c r="N85" s="4" t="s">
        <v>235</v>
      </c>
      <c r="AO85" s="4" t="s">
        <v>513</v>
      </c>
      <c r="AR85" s="4" t="s">
        <v>514</v>
      </c>
      <c r="HK85" s="4" t="s">
        <v>328</v>
      </c>
      <c r="HM85" s="4"/>
    </row>
    <row r="86" spans="1:221" ht="30" x14ac:dyDescent="0.25">
      <c r="A86" s="19" t="s">
        <v>515</v>
      </c>
      <c r="B86" s="13" t="s">
        <v>229</v>
      </c>
      <c r="C86" s="3"/>
      <c r="D86" s="4" t="s">
        <v>230</v>
      </c>
      <c r="E86" s="4"/>
      <c r="F86" s="4" t="s">
        <v>300</v>
      </c>
      <c r="G86" s="4" t="s">
        <v>301</v>
      </c>
      <c r="I86" s="4" t="s">
        <v>293</v>
      </c>
      <c r="J86" s="3"/>
      <c r="K86" s="3"/>
      <c r="L86" s="3">
        <f>Planilha1!$J86-Planilha1!$K86</f>
        <v>0</v>
      </c>
      <c r="M86" s="3"/>
      <c r="N86" s="4" t="s">
        <v>287</v>
      </c>
      <c r="AR86" s="4" t="s">
        <v>480</v>
      </c>
      <c r="FN86" s="4" t="s">
        <v>516</v>
      </c>
      <c r="HM86" s="4"/>
    </row>
    <row r="87" spans="1:221" ht="30" x14ac:dyDescent="0.25">
      <c r="A87" s="19" t="s">
        <v>517</v>
      </c>
      <c r="B87" s="13" t="s">
        <v>229</v>
      </c>
      <c r="C87" s="3"/>
      <c r="D87" s="4" t="s">
        <v>230</v>
      </c>
      <c r="E87" s="4"/>
      <c r="F87" s="4" t="s">
        <v>300</v>
      </c>
      <c r="G87" s="4" t="s">
        <v>301</v>
      </c>
      <c r="I87" s="4" t="s">
        <v>293</v>
      </c>
      <c r="J87" s="3"/>
      <c r="K87" s="3"/>
      <c r="L87" s="3">
        <f>Planilha1!$J87-Planilha1!$K87</f>
        <v>0</v>
      </c>
      <c r="M87" s="3"/>
      <c r="N87" s="4" t="s">
        <v>518</v>
      </c>
      <c r="AI87" s="4" t="s">
        <v>519</v>
      </c>
      <c r="AR87" s="4" t="s">
        <v>520</v>
      </c>
      <c r="FN87" s="4" t="s">
        <v>516</v>
      </c>
      <c r="HM87" s="4"/>
    </row>
    <row r="88" spans="1:221" ht="30" x14ac:dyDescent="0.25">
      <c r="A88" s="19" t="s">
        <v>521</v>
      </c>
      <c r="B88" s="13" t="s">
        <v>229</v>
      </c>
      <c r="C88" s="3"/>
      <c r="D88" s="4" t="s">
        <v>230</v>
      </c>
      <c r="E88" s="4"/>
      <c r="F88" s="4" t="s">
        <v>300</v>
      </c>
      <c r="G88" s="4">
        <v>30</v>
      </c>
      <c r="I88" s="4" t="s">
        <v>293</v>
      </c>
      <c r="J88" s="3"/>
      <c r="K88" s="3"/>
      <c r="L88" s="3">
        <f>Planilha1!$J88-Planilha1!$K88</f>
        <v>0</v>
      </c>
      <c r="M88" s="3"/>
      <c r="N88" s="4" t="s">
        <v>464</v>
      </c>
      <c r="O88" s="4" t="s">
        <v>522</v>
      </c>
      <c r="AA88" s="4" t="s">
        <v>523</v>
      </c>
      <c r="AR88" s="4" t="s">
        <v>524</v>
      </c>
      <c r="BF88" s="4" t="s">
        <v>525</v>
      </c>
      <c r="BP88" s="4" t="s">
        <v>526</v>
      </c>
      <c r="DJ88" s="4" t="s">
        <v>527</v>
      </c>
      <c r="DX88" s="4" t="s">
        <v>528</v>
      </c>
      <c r="EA88" s="4" t="s">
        <v>529</v>
      </c>
      <c r="FE88" s="4" t="s">
        <v>530</v>
      </c>
      <c r="FJ88" s="4" t="s">
        <v>531</v>
      </c>
      <c r="HE88" s="4" t="s">
        <v>532</v>
      </c>
      <c r="HM88" s="4"/>
    </row>
    <row r="89" spans="1:221" ht="30" x14ac:dyDescent="0.25">
      <c r="A89" s="19" t="s">
        <v>533</v>
      </c>
      <c r="B89" s="13" t="s">
        <v>229</v>
      </c>
      <c r="C89" s="3"/>
      <c r="D89" s="4" t="s">
        <v>230</v>
      </c>
      <c r="E89" s="4"/>
      <c r="F89" s="4" t="s">
        <v>300</v>
      </c>
      <c r="G89" s="4" t="s">
        <v>301</v>
      </c>
      <c r="I89" s="4" t="s">
        <v>293</v>
      </c>
      <c r="J89" s="3"/>
      <c r="K89" s="3"/>
      <c r="L89" s="3">
        <f>Planilha1!$J89-Planilha1!$K89</f>
        <v>0</v>
      </c>
      <c r="M89" s="3"/>
      <c r="N89" s="4" t="s">
        <v>287</v>
      </c>
      <c r="AO89" s="4" t="s">
        <v>333</v>
      </c>
      <c r="AR89" s="4" t="s">
        <v>478</v>
      </c>
      <c r="FN89" s="4" t="s">
        <v>516</v>
      </c>
      <c r="HM89" s="4"/>
    </row>
    <row r="90" spans="1:221" ht="33" customHeight="1" x14ac:dyDescent="0.25">
      <c r="A90" s="2" t="s">
        <v>534</v>
      </c>
      <c r="B90" s="13" t="s">
        <v>229</v>
      </c>
      <c r="C90" s="3"/>
      <c r="D90" s="4" t="s">
        <v>281</v>
      </c>
      <c r="E90" s="4" t="s">
        <v>338</v>
      </c>
      <c r="I90" s="4" t="s">
        <v>285</v>
      </c>
      <c r="J90" s="3"/>
      <c r="K90" s="3"/>
      <c r="L90" s="3">
        <f>Planilha1!$J90-Planilha1!$K90</f>
        <v>0</v>
      </c>
      <c r="M90" s="3"/>
      <c r="GI90" s="4" t="s">
        <v>535</v>
      </c>
      <c r="HM90" s="4"/>
    </row>
    <row r="91" spans="1:221" x14ac:dyDescent="0.25">
      <c r="A91" s="19" t="s">
        <v>536</v>
      </c>
      <c r="B91" s="13" t="s">
        <v>229</v>
      </c>
      <c r="C91" s="3"/>
      <c r="D91" s="4" t="s">
        <v>281</v>
      </c>
      <c r="E91" s="4" t="s">
        <v>338</v>
      </c>
      <c r="I91" s="4" t="s">
        <v>400</v>
      </c>
      <c r="J91" s="3"/>
      <c r="K91" s="3"/>
      <c r="L91" s="3">
        <f>Planilha1!$J91-Planilha1!$K91</f>
        <v>0</v>
      </c>
      <c r="M91" s="3"/>
      <c r="ET91" s="4" t="s">
        <v>398</v>
      </c>
      <c r="HM91" s="4"/>
    </row>
    <row r="92" spans="1:221" x14ac:dyDescent="0.25">
      <c r="A92" s="19" t="s">
        <v>537</v>
      </c>
      <c r="B92" s="13" t="s">
        <v>229</v>
      </c>
      <c r="C92" s="3"/>
      <c r="D92" s="4" t="s">
        <v>281</v>
      </c>
      <c r="E92" s="4" t="s">
        <v>338</v>
      </c>
      <c r="I92" s="4" t="s">
        <v>332</v>
      </c>
      <c r="J92" s="3"/>
      <c r="K92" s="3"/>
      <c r="L92" s="3">
        <f>Planilha1!$J92-Planilha1!$K92</f>
        <v>0</v>
      </c>
      <c r="M92" s="3"/>
      <c r="FY92" s="4" t="s">
        <v>538</v>
      </c>
      <c r="HM92" s="4"/>
    </row>
    <row r="93" spans="1:221" ht="30" x14ac:dyDescent="0.25">
      <c r="A93" s="19" t="s">
        <v>539</v>
      </c>
      <c r="B93" s="13" t="s">
        <v>229</v>
      </c>
      <c r="C93" s="3"/>
      <c r="D93" s="4" t="s">
        <v>281</v>
      </c>
      <c r="E93" s="4" t="s">
        <v>282</v>
      </c>
      <c r="I93" s="4" t="s">
        <v>332</v>
      </c>
      <c r="J93" s="3"/>
      <c r="K93" s="3"/>
      <c r="L93" s="3">
        <f>Planilha1!$J93-Planilha1!$K93</f>
        <v>0</v>
      </c>
      <c r="M93" s="3"/>
      <c r="CO93" s="4" t="s">
        <v>235</v>
      </c>
      <c r="GF93" s="4" t="s">
        <v>540</v>
      </c>
      <c r="HM93" s="4"/>
    </row>
    <row r="94" spans="1:221" ht="30" x14ac:dyDescent="0.25">
      <c r="A94" s="19" t="s">
        <v>541</v>
      </c>
      <c r="B94" s="13" t="s">
        <v>229</v>
      </c>
      <c r="C94" s="3"/>
      <c r="D94" s="4" t="s">
        <v>281</v>
      </c>
      <c r="E94" s="4" t="s">
        <v>338</v>
      </c>
      <c r="I94" s="4" t="s">
        <v>332</v>
      </c>
      <c r="J94" s="3"/>
      <c r="K94" s="3"/>
      <c r="L94" s="3">
        <f>Planilha1!$J94-Planilha1!$K94</f>
        <v>0</v>
      </c>
      <c r="M94" s="3"/>
      <c r="FW94" s="4" t="s">
        <v>538</v>
      </c>
      <c r="HM94" s="4"/>
    </row>
    <row r="95" spans="1:221" x14ac:dyDescent="0.25">
      <c r="A95" s="24" t="s">
        <v>542</v>
      </c>
      <c r="B95" s="13" t="s">
        <v>390</v>
      </c>
      <c r="C95" s="3"/>
      <c r="D95" s="4" t="s">
        <v>281</v>
      </c>
      <c r="E95" s="4" t="s">
        <v>338</v>
      </c>
      <c r="I95" s="4" t="s">
        <v>400</v>
      </c>
      <c r="J95" s="3"/>
      <c r="K95" s="3"/>
      <c r="L95" s="3">
        <f>Planilha1!$J95-Planilha1!$K95</f>
        <v>0</v>
      </c>
      <c r="M95" s="3"/>
      <c r="EO95" s="4" t="s">
        <v>398</v>
      </c>
      <c r="HM95" s="4"/>
    </row>
    <row r="96" spans="1:221" x14ac:dyDescent="0.25">
      <c r="A96" s="19" t="s">
        <v>543</v>
      </c>
      <c r="B96" s="13" t="s">
        <v>229</v>
      </c>
      <c r="C96" s="3"/>
      <c r="D96" s="4" t="s">
        <v>281</v>
      </c>
      <c r="E96" s="4" t="s">
        <v>338</v>
      </c>
      <c r="I96" s="4" t="s">
        <v>332</v>
      </c>
      <c r="J96" s="3"/>
      <c r="K96" s="3"/>
      <c r="L96" s="3">
        <f>Planilha1!$J96-Planilha1!$K96</f>
        <v>0</v>
      </c>
      <c r="M96" s="3"/>
      <c r="FN96" s="4" t="s">
        <v>538</v>
      </c>
      <c r="HM96" s="4"/>
    </row>
    <row r="97" spans="1:221" x14ac:dyDescent="0.25">
      <c r="A97" s="19" t="s">
        <v>544</v>
      </c>
      <c r="B97" s="13" t="s">
        <v>229</v>
      </c>
      <c r="C97" s="3"/>
      <c r="D97" s="4" t="s">
        <v>281</v>
      </c>
      <c r="E97" s="4" t="s">
        <v>338</v>
      </c>
      <c r="I97" s="4" t="s">
        <v>332</v>
      </c>
      <c r="J97" s="3"/>
      <c r="K97" s="3"/>
      <c r="L97" s="3">
        <f>Planilha1!$J97-Planilha1!$K97</f>
        <v>0</v>
      </c>
      <c r="M97" s="3"/>
      <c r="GF97" s="4" t="s">
        <v>538</v>
      </c>
      <c r="HM97" s="4"/>
    </row>
    <row r="98" spans="1:221" x14ac:dyDescent="0.25">
      <c r="A98" s="2" t="s">
        <v>545</v>
      </c>
      <c r="B98" s="13" t="s">
        <v>390</v>
      </c>
      <c r="C98" s="3"/>
      <c r="D98" s="4" t="s">
        <v>281</v>
      </c>
      <c r="E98" s="4" t="s">
        <v>338</v>
      </c>
      <c r="I98" s="4" t="s">
        <v>400</v>
      </c>
      <c r="J98" s="3"/>
      <c r="K98" s="3"/>
      <c r="L98" s="3">
        <f>Planilha1!$J98-Planilha1!$K98</f>
        <v>0</v>
      </c>
      <c r="M98" s="3"/>
      <c r="GX98" s="4" t="s">
        <v>398</v>
      </c>
      <c r="HM98" s="4"/>
    </row>
    <row r="99" spans="1:221" ht="75" x14ac:dyDescent="0.25">
      <c r="A99" s="19" t="s">
        <v>546</v>
      </c>
      <c r="B99" s="13" t="s">
        <v>229</v>
      </c>
      <c r="C99" s="3"/>
      <c r="D99" s="4" t="s">
        <v>281</v>
      </c>
      <c r="E99" s="4" t="s">
        <v>338</v>
      </c>
      <c r="I99" s="4" t="s">
        <v>332</v>
      </c>
      <c r="J99" s="3"/>
      <c r="K99" s="3"/>
      <c r="L99" s="3">
        <f>Planilha1!$J99-Planilha1!$K99</f>
        <v>0</v>
      </c>
      <c r="M99" s="3"/>
      <c r="FK99" s="4" t="s">
        <v>547</v>
      </c>
      <c r="GW99" s="4" t="s">
        <v>548</v>
      </c>
      <c r="HM99" s="4"/>
    </row>
    <row r="100" spans="1:221" ht="135" x14ac:dyDescent="0.25">
      <c r="A100" s="2" t="s">
        <v>549</v>
      </c>
      <c r="B100" s="13" t="s">
        <v>229</v>
      </c>
      <c r="C100" s="3"/>
      <c r="D100" s="4" t="s">
        <v>281</v>
      </c>
      <c r="E100" s="4" t="s">
        <v>282</v>
      </c>
      <c r="I100" s="4" t="s">
        <v>406</v>
      </c>
      <c r="J100" s="3"/>
      <c r="K100" s="3"/>
      <c r="L100" s="3">
        <f>Planilha1!$J100-Planilha1!$K100</f>
        <v>0</v>
      </c>
      <c r="M100" s="3"/>
      <c r="EW100" s="4" t="s">
        <v>550</v>
      </c>
      <c r="FF100" s="4" t="s">
        <v>551</v>
      </c>
      <c r="FK100" s="4" t="s">
        <v>552</v>
      </c>
      <c r="GW100" s="4" t="s">
        <v>553</v>
      </c>
      <c r="HM100" s="4"/>
    </row>
    <row r="101" spans="1:221" ht="30" x14ac:dyDescent="0.25">
      <c r="A101" s="19" t="s">
        <v>554</v>
      </c>
      <c r="B101" s="13" t="s">
        <v>229</v>
      </c>
      <c r="C101" s="3"/>
      <c r="D101" s="4" t="s">
        <v>281</v>
      </c>
      <c r="E101" s="4" t="s">
        <v>282</v>
      </c>
      <c r="I101" s="4" t="s">
        <v>332</v>
      </c>
      <c r="J101" s="3"/>
      <c r="K101" s="3"/>
      <c r="L101" s="3">
        <f>Planilha1!$J101-Planilha1!$K101</f>
        <v>0</v>
      </c>
      <c r="M101" s="3"/>
      <c r="FF101" s="4" t="s">
        <v>551</v>
      </c>
      <c r="FK101" s="4" t="s">
        <v>547</v>
      </c>
      <c r="GW101" s="4" t="s">
        <v>555</v>
      </c>
      <c r="HM101" s="4"/>
    </row>
    <row r="102" spans="1:221" x14ac:dyDescent="0.25">
      <c r="A102" s="19" t="s">
        <v>556</v>
      </c>
      <c r="B102" s="13" t="s">
        <v>229</v>
      </c>
      <c r="C102" s="3"/>
      <c r="D102" s="4" t="s">
        <v>281</v>
      </c>
      <c r="E102" s="4" t="s">
        <v>338</v>
      </c>
      <c r="I102" s="4" t="s">
        <v>406</v>
      </c>
      <c r="J102" s="3"/>
      <c r="K102" s="3"/>
      <c r="L102" s="3">
        <f>Planilha1!$J102-Planilha1!$K102</f>
        <v>0</v>
      </c>
      <c r="M102" s="3"/>
      <c r="ET102" s="4" t="s">
        <v>398</v>
      </c>
      <c r="HM102" s="4"/>
    </row>
    <row r="103" spans="1:221" ht="75" x14ac:dyDescent="0.25">
      <c r="A103" s="19" t="s">
        <v>557</v>
      </c>
      <c r="B103" s="13" t="s">
        <v>229</v>
      </c>
      <c r="C103" s="3"/>
      <c r="D103" s="4" t="s">
        <v>281</v>
      </c>
      <c r="E103" s="4" t="s">
        <v>338</v>
      </c>
      <c r="I103" s="4" t="s">
        <v>332</v>
      </c>
      <c r="J103" s="3"/>
      <c r="K103" s="3"/>
      <c r="L103" s="3">
        <f>Planilha1!$J103-Planilha1!$K103</f>
        <v>0</v>
      </c>
      <c r="M103" s="3"/>
      <c r="FK103" s="4" t="s">
        <v>547</v>
      </c>
      <c r="GW103" s="4" t="s">
        <v>548</v>
      </c>
      <c r="HM103" s="4"/>
    </row>
    <row r="104" spans="1:221" ht="30" x14ac:dyDescent="0.25">
      <c r="A104" s="19" t="s">
        <v>558</v>
      </c>
      <c r="B104" s="13" t="s">
        <v>229</v>
      </c>
      <c r="C104" s="3"/>
      <c r="D104" s="4" t="s">
        <v>281</v>
      </c>
      <c r="E104" s="4" t="s">
        <v>338</v>
      </c>
      <c r="I104" s="4" t="s">
        <v>406</v>
      </c>
      <c r="J104" s="3"/>
      <c r="K104" s="3"/>
      <c r="L104" s="3">
        <f>Planilha1!$J104-Planilha1!$K104</f>
        <v>0</v>
      </c>
      <c r="M104" s="3"/>
      <c r="CO104" s="4" t="s">
        <v>235</v>
      </c>
      <c r="HM104" s="4"/>
    </row>
    <row r="105" spans="1:221" ht="30" x14ac:dyDescent="0.25">
      <c r="A105" s="19" t="s">
        <v>559</v>
      </c>
      <c r="B105" s="13" t="s">
        <v>229</v>
      </c>
      <c r="C105" s="3"/>
      <c r="D105" s="4" t="s">
        <v>281</v>
      </c>
      <c r="E105" s="4" t="s">
        <v>282</v>
      </c>
      <c r="I105" s="4" t="s">
        <v>332</v>
      </c>
      <c r="J105" s="3"/>
      <c r="K105" s="3"/>
      <c r="L105" s="3">
        <f>Planilha1!$J105-Planilha1!$K105</f>
        <v>0</v>
      </c>
      <c r="M105" s="3"/>
      <c r="EL105" s="4" t="s">
        <v>235</v>
      </c>
      <c r="FF105" s="4" t="s">
        <v>551</v>
      </c>
      <c r="GW105" s="4" t="s">
        <v>555</v>
      </c>
      <c r="HM105" s="4"/>
    </row>
    <row r="106" spans="1:221" x14ac:dyDescent="0.25">
      <c r="A106" s="19" t="s">
        <v>560</v>
      </c>
      <c r="B106" s="13" t="s">
        <v>229</v>
      </c>
      <c r="C106" s="3"/>
      <c r="D106" s="4" t="s">
        <v>281</v>
      </c>
      <c r="E106" s="4" t="s">
        <v>282</v>
      </c>
      <c r="I106" s="4" t="s">
        <v>332</v>
      </c>
      <c r="J106" s="3"/>
      <c r="K106" s="3"/>
      <c r="L106" s="3">
        <f>Planilha1!$J106-Planilha1!$K106</f>
        <v>0</v>
      </c>
      <c r="M106" s="3"/>
      <c r="CO106" s="4" t="s">
        <v>235</v>
      </c>
      <c r="FQ106" s="4" t="s">
        <v>555</v>
      </c>
      <c r="GX106" s="4" t="s">
        <v>398</v>
      </c>
      <c r="HM106" s="4"/>
    </row>
    <row r="107" spans="1:221" x14ac:dyDescent="0.25">
      <c r="A107" s="19" t="s">
        <v>561</v>
      </c>
      <c r="B107" s="13" t="s">
        <v>229</v>
      </c>
      <c r="C107" s="3"/>
      <c r="D107" s="4" t="s">
        <v>281</v>
      </c>
      <c r="E107" s="4" t="s">
        <v>338</v>
      </c>
      <c r="I107" s="4" t="s">
        <v>332</v>
      </c>
      <c r="J107" s="3"/>
      <c r="K107" s="3"/>
      <c r="L107" s="3">
        <f>Planilha1!$J107-Planilha1!$K107</f>
        <v>0</v>
      </c>
      <c r="M107" s="3"/>
      <c r="GI107" s="4" t="s">
        <v>235</v>
      </c>
      <c r="HM107" s="4"/>
    </row>
    <row r="108" spans="1:221" ht="30" x14ac:dyDescent="0.25">
      <c r="A108" s="19" t="s">
        <v>562</v>
      </c>
      <c r="B108" s="13" t="s">
        <v>229</v>
      </c>
      <c r="C108" s="3"/>
      <c r="D108" s="4" t="s">
        <v>281</v>
      </c>
      <c r="E108" s="4" t="s">
        <v>338</v>
      </c>
      <c r="I108" s="4" t="s">
        <v>332</v>
      </c>
      <c r="J108" s="3"/>
      <c r="K108" s="3"/>
      <c r="L108" s="3">
        <f>Planilha1!$J108-Planilha1!$K108</f>
        <v>0</v>
      </c>
      <c r="M108" s="3"/>
      <c r="CO108" s="4" t="s">
        <v>235</v>
      </c>
      <c r="GM108" s="4" t="s">
        <v>555</v>
      </c>
      <c r="HM108" s="4"/>
    </row>
    <row r="109" spans="1:221" x14ac:dyDescent="0.25">
      <c r="A109" s="19" t="s">
        <v>563</v>
      </c>
      <c r="B109" s="13" t="s">
        <v>229</v>
      </c>
      <c r="C109" s="3"/>
      <c r="D109" s="4" t="s">
        <v>281</v>
      </c>
      <c r="E109" s="4" t="s">
        <v>338</v>
      </c>
      <c r="I109" s="4" t="s">
        <v>406</v>
      </c>
      <c r="J109" s="3"/>
      <c r="K109" s="3"/>
      <c r="L109" s="3">
        <f>Planilha1!$J109-Planilha1!$K109</f>
        <v>0</v>
      </c>
      <c r="M109" s="3"/>
      <c r="EV109" s="4" t="s">
        <v>398</v>
      </c>
      <c r="HM109" s="4"/>
    </row>
    <row r="110" spans="1:221" x14ac:dyDescent="0.25">
      <c r="A110" s="2" t="s">
        <v>564</v>
      </c>
      <c r="B110" s="13" t="s">
        <v>229</v>
      </c>
      <c r="C110" s="3"/>
      <c r="D110" s="4" t="s">
        <v>281</v>
      </c>
      <c r="E110" s="4" t="s">
        <v>338</v>
      </c>
      <c r="I110" s="4" t="s">
        <v>406</v>
      </c>
      <c r="J110" s="3"/>
      <c r="K110" s="3"/>
      <c r="L110" s="3">
        <f>Planilha1!$J110-Planilha1!$K110</f>
        <v>0</v>
      </c>
      <c r="M110" s="3"/>
      <c r="ET110" s="4" t="s">
        <v>398</v>
      </c>
      <c r="HM110" s="4"/>
    </row>
    <row r="111" spans="1:221" x14ac:dyDescent="0.25">
      <c r="A111" s="19" t="s">
        <v>565</v>
      </c>
      <c r="B111" s="13" t="s">
        <v>229</v>
      </c>
      <c r="C111" s="3"/>
      <c r="D111" s="4" t="s">
        <v>281</v>
      </c>
      <c r="E111" s="4" t="s">
        <v>331</v>
      </c>
      <c r="I111" s="4" t="s">
        <v>332</v>
      </c>
      <c r="J111" s="3"/>
      <c r="K111" s="3"/>
      <c r="L111" s="3">
        <f>Planilha1!$J111-Planilha1!$K111</f>
        <v>0</v>
      </c>
      <c r="M111" s="3"/>
      <c r="FQ111" s="4" t="s">
        <v>538</v>
      </c>
      <c r="HM111" s="4"/>
    </row>
    <row r="112" spans="1:221" ht="30" x14ac:dyDescent="0.25">
      <c r="A112" s="19" t="s">
        <v>566</v>
      </c>
      <c r="B112" s="13" t="s">
        <v>229</v>
      </c>
      <c r="C112" s="3"/>
      <c r="D112" s="4" t="s">
        <v>281</v>
      </c>
      <c r="E112" s="4" t="s">
        <v>338</v>
      </c>
      <c r="I112" s="4" t="s">
        <v>400</v>
      </c>
      <c r="J112" s="3"/>
      <c r="K112" s="3"/>
      <c r="L112" s="3">
        <f>Planilha1!$J112-Planilha1!$K112</f>
        <v>0</v>
      </c>
      <c r="M112" s="3"/>
      <c r="GI112" s="4" t="s">
        <v>567</v>
      </c>
      <c r="HM112" s="4"/>
    </row>
    <row r="113" spans="1:227" x14ac:dyDescent="0.25">
      <c r="A113" s="19" t="s">
        <v>568</v>
      </c>
      <c r="B113" s="13" t="s">
        <v>229</v>
      </c>
      <c r="C113" s="3"/>
      <c r="D113" s="4" t="s">
        <v>281</v>
      </c>
      <c r="E113" s="4" t="s">
        <v>282</v>
      </c>
      <c r="I113" s="4" t="s">
        <v>406</v>
      </c>
      <c r="J113" s="3"/>
      <c r="K113" s="3"/>
      <c r="L113" s="3">
        <f>Planilha1!$J113-Planilha1!$K113</f>
        <v>0</v>
      </c>
      <c r="M113" s="3"/>
      <c r="CO113" s="4" t="s">
        <v>235</v>
      </c>
      <c r="HM113" s="4"/>
    </row>
    <row r="114" spans="1:227" x14ac:dyDescent="0.25">
      <c r="A114" s="19" t="s">
        <v>569</v>
      </c>
      <c r="B114" s="13" t="s">
        <v>229</v>
      </c>
      <c r="C114" s="3"/>
      <c r="D114" s="4" t="s">
        <v>281</v>
      </c>
      <c r="E114" s="4" t="s">
        <v>282</v>
      </c>
      <c r="I114" s="4" t="s">
        <v>400</v>
      </c>
      <c r="J114" s="3"/>
      <c r="K114" s="3"/>
      <c r="L114" s="3">
        <f>Planilha1!$J114-Planilha1!$K114</f>
        <v>0</v>
      </c>
      <c r="M114" s="3"/>
      <c r="N114" s="4" t="s">
        <v>498</v>
      </c>
      <c r="AO114" s="4" t="s">
        <v>570</v>
      </c>
      <c r="BB114" s="4" t="s">
        <v>413</v>
      </c>
      <c r="BO114" s="4" t="s">
        <v>350</v>
      </c>
      <c r="DW114" s="4" t="s">
        <v>309</v>
      </c>
      <c r="HM114" s="4"/>
    </row>
    <row r="115" spans="1:227" ht="30" x14ac:dyDescent="0.25">
      <c r="A115" s="19" t="s">
        <v>571</v>
      </c>
      <c r="B115" s="13" t="s">
        <v>229</v>
      </c>
      <c r="C115" s="3"/>
      <c r="D115" s="4" t="s">
        <v>281</v>
      </c>
      <c r="E115" s="4" t="s">
        <v>338</v>
      </c>
      <c r="I115" s="4" t="s">
        <v>400</v>
      </c>
      <c r="J115" s="3"/>
      <c r="K115" s="3"/>
      <c r="L115" s="3">
        <f>Planilha1!$J115-Planilha1!$K115</f>
        <v>0</v>
      </c>
      <c r="M115" s="3"/>
      <c r="DU115" s="4" t="s">
        <v>394</v>
      </c>
      <c r="HM115" s="4"/>
    </row>
    <row r="116" spans="1:227" ht="30" x14ac:dyDescent="0.25">
      <c r="A116" s="19" t="s">
        <v>572</v>
      </c>
      <c r="B116" s="13" t="s">
        <v>229</v>
      </c>
      <c r="C116" s="3"/>
      <c r="D116" s="4" t="s">
        <v>281</v>
      </c>
      <c r="E116" s="4" t="s">
        <v>338</v>
      </c>
      <c r="I116" s="4" t="s">
        <v>332</v>
      </c>
      <c r="J116" s="3"/>
      <c r="K116" s="3"/>
      <c r="L116" s="3">
        <f>Planilha1!$J116-Planilha1!$K116</f>
        <v>0</v>
      </c>
      <c r="M116" s="3"/>
      <c r="ET116" s="4" t="s">
        <v>573</v>
      </c>
      <c r="FQ116" s="4" t="s">
        <v>540</v>
      </c>
      <c r="HM116" s="4"/>
    </row>
    <row r="117" spans="1:227" x14ac:dyDescent="0.25">
      <c r="A117" s="19" t="s">
        <v>574</v>
      </c>
      <c r="B117" s="13" t="s">
        <v>229</v>
      </c>
      <c r="C117" s="3"/>
      <c r="D117" s="4" t="s">
        <v>281</v>
      </c>
      <c r="E117" s="4" t="s">
        <v>282</v>
      </c>
      <c r="I117" s="4" t="s">
        <v>400</v>
      </c>
      <c r="J117" s="3"/>
      <c r="K117" s="3"/>
      <c r="L117" s="3">
        <f>Planilha1!$J117-Planilha1!$K117</f>
        <v>0</v>
      </c>
      <c r="M117" s="3"/>
      <c r="CQ117" s="4" t="s">
        <v>235</v>
      </c>
      <c r="ET117" s="4" t="s">
        <v>398</v>
      </c>
      <c r="HM117" s="4"/>
    </row>
    <row r="118" spans="1:227" x14ac:dyDescent="0.25">
      <c r="A118" s="19" t="s">
        <v>575</v>
      </c>
      <c r="B118" s="13" t="s">
        <v>229</v>
      </c>
      <c r="C118" s="3"/>
      <c r="D118" s="4" t="s">
        <v>281</v>
      </c>
      <c r="E118" s="4" t="s">
        <v>338</v>
      </c>
      <c r="I118" s="4" t="s">
        <v>332</v>
      </c>
      <c r="J118" s="3"/>
      <c r="K118" s="3"/>
      <c r="L118" s="3">
        <f>Planilha1!$J118-Planilha1!$K118</f>
        <v>0</v>
      </c>
      <c r="M118" s="3"/>
      <c r="FK118" s="4" t="s">
        <v>538</v>
      </c>
      <c r="HM118" s="4"/>
    </row>
    <row r="119" spans="1:227" ht="60" x14ac:dyDescent="0.25">
      <c r="A119" s="19" t="s">
        <v>576</v>
      </c>
      <c r="B119" s="13" t="s">
        <v>229</v>
      </c>
      <c r="C119" s="3"/>
      <c r="D119" s="4" t="s">
        <v>281</v>
      </c>
      <c r="E119" s="4" t="s">
        <v>282</v>
      </c>
      <c r="I119" s="4" t="s">
        <v>400</v>
      </c>
      <c r="J119" s="3"/>
      <c r="K119" s="3"/>
      <c r="L119" s="3">
        <f>Planilha1!$J119-Planilha1!$K119</f>
        <v>0</v>
      </c>
      <c r="M119" s="3"/>
      <c r="CQ119" s="4" t="s">
        <v>235</v>
      </c>
      <c r="FC119" s="4" t="s">
        <v>577</v>
      </c>
      <c r="HM119" s="4"/>
    </row>
    <row r="120" spans="1:227" ht="135" x14ac:dyDescent="0.25">
      <c r="A120" s="19" t="s">
        <v>578</v>
      </c>
      <c r="B120" s="13" t="s">
        <v>229</v>
      </c>
      <c r="C120" s="3"/>
      <c r="D120" s="4" t="s">
        <v>281</v>
      </c>
      <c r="E120" s="4" t="s">
        <v>331</v>
      </c>
      <c r="I120" s="4" t="s">
        <v>400</v>
      </c>
      <c r="J120" s="3"/>
      <c r="K120" s="3"/>
      <c r="L120" s="3">
        <f>Planilha1!$J120-Planilha1!$K120</f>
        <v>0</v>
      </c>
      <c r="M120" s="3"/>
      <c r="CQ120" s="4" t="s">
        <v>235</v>
      </c>
      <c r="EO120" s="4" t="s">
        <v>579</v>
      </c>
      <c r="HM120" s="4"/>
    </row>
    <row r="121" spans="1:227" x14ac:dyDescent="0.25">
      <c r="A121" s="19" t="s">
        <v>580</v>
      </c>
      <c r="B121" s="13" t="s">
        <v>229</v>
      </c>
      <c r="C121" s="3"/>
      <c r="D121" s="4" t="s">
        <v>281</v>
      </c>
      <c r="E121" s="4" t="s">
        <v>282</v>
      </c>
      <c r="I121" s="4" t="s">
        <v>400</v>
      </c>
      <c r="J121" s="3"/>
      <c r="K121" s="3"/>
      <c r="L121" s="3">
        <f>Planilha1!$J121-Planilha1!$K121</f>
        <v>0</v>
      </c>
      <c r="M121" s="3"/>
      <c r="CY121" s="4" t="s">
        <v>235</v>
      </c>
      <c r="HM121" s="4"/>
    </row>
    <row r="122" spans="1:227" ht="60" x14ac:dyDescent="0.25">
      <c r="A122" s="2" t="s">
        <v>581</v>
      </c>
      <c r="B122" s="13" t="s">
        <v>229</v>
      </c>
      <c r="C122" s="3"/>
      <c r="D122" s="4" t="s">
        <v>281</v>
      </c>
      <c r="E122" s="4" t="s">
        <v>282</v>
      </c>
      <c r="I122" s="4" t="s">
        <v>400</v>
      </c>
      <c r="J122" s="3"/>
      <c r="K122" s="3"/>
      <c r="L122" s="3">
        <f>Planilha1!$J122-Planilha1!$K122</f>
        <v>0</v>
      </c>
      <c r="M122" s="3"/>
      <c r="CT122" s="4" t="s">
        <v>582</v>
      </c>
      <c r="HM122" s="4"/>
    </row>
    <row r="123" spans="1:227" ht="30" x14ac:dyDescent="0.25">
      <c r="A123" s="2" t="s">
        <v>583</v>
      </c>
      <c r="B123" s="13" t="s">
        <v>229</v>
      </c>
      <c r="C123" s="3"/>
      <c r="D123" s="4" t="s">
        <v>281</v>
      </c>
      <c r="E123" s="4" t="s">
        <v>338</v>
      </c>
      <c r="I123" s="4" t="s">
        <v>400</v>
      </c>
      <c r="J123" s="3"/>
      <c r="K123" s="3"/>
      <c r="L123" s="3">
        <f>Planilha1!$J123-Planilha1!$K123</f>
        <v>0</v>
      </c>
      <c r="M123" s="3"/>
      <c r="ET123" s="4" t="s">
        <v>584</v>
      </c>
      <c r="FX123" s="4" t="s">
        <v>398</v>
      </c>
      <c r="HM123" s="4"/>
    </row>
    <row r="124" spans="1:227" x14ac:dyDescent="0.25">
      <c r="A124" s="25" t="s">
        <v>585</v>
      </c>
      <c r="B124" s="13" t="s">
        <v>229</v>
      </c>
      <c r="C124" s="26"/>
      <c r="D124" s="4"/>
      <c r="E124" s="4"/>
      <c r="J124" s="26"/>
      <c r="K124" s="26"/>
      <c r="L124" s="3">
        <f>Planilha1!$J124-Planilha1!$K124</f>
        <v>0</v>
      </c>
      <c r="M124" s="3"/>
      <c r="HM124" s="4"/>
      <c r="HR124" s="27"/>
      <c r="HS124" s="27"/>
    </row>
    <row r="125" spans="1:227" x14ac:dyDescent="0.25">
      <c r="A125" s="19" t="s">
        <v>586</v>
      </c>
      <c r="B125" s="13" t="s">
        <v>229</v>
      </c>
      <c r="C125" s="3"/>
      <c r="D125" s="4" t="s">
        <v>281</v>
      </c>
      <c r="E125" s="4" t="s">
        <v>282</v>
      </c>
      <c r="I125" s="4" t="s">
        <v>400</v>
      </c>
      <c r="J125" s="3"/>
      <c r="K125" s="3"/>
      <c r="L125" s="3">
        <f>Planilha1!$J125-Planilha1!$K125</f>
        <v>0</v>
      </c>
      <c r="M125" s="3"/>
      <c r="CS125" s="4" t="s">
        <v>235</v>
      </c>
      <c r="HM125" s="4"/>
    </row>
    <row r="126" spans="1:227" x14ac:dyDescent="0.25">
      <c r="A126" s="19" t="s">
        <v>587</v>
      </c>
      <c r="B126" s="13" t="s">
        <v>229</v>
      </c>
      <c r="C126" s="3"/>
      <c r="D126" s="4" t="s">
        <v>281</v>
      </c>
      <c r="E126" s="4" t="s">
        <v>282</v>
      </c>
      <c r="I126" s="4" t="s">
        <v>406</v>
      </c>
      <c r="J126" s="3"/>
      <c r="K126" s="3"/>
      <c r="L126" s="3">
        <f>Planilha1!$J126-Planilha1!$K126</f>
        <v>0</v>
      </c>
      <c r="M126" s="3"/>
      <c r="CQ126" s="4" t="s">
        <v>235</v>
      </c>
      <c r="HM126" s="4"/>
    </row>
    <row r="127" spans="1:227" ht="30" x14ac:dyDescent="0.25">
      <c r="A127" s="2" t="s">
        <v>588</v>
      </c>
      <c r="B127" s="13" t="s">
        <v>229</v>
      </c>
      <c r="C127" s="3"/>
      <c r="D127" s="4" t="s">
        <v>281</v>
      </c>
      <c r="E127" s="4" t="s">
        <v>282</v>
      </c>
      <c r="I127" s="4" t="s">
        <v>400</v>
      </c>
      <c r="J127" s="3"/>
      <c r="K127" s="3"/>
      <c r="L127" s="3">
        <f>Planilha1!$J127-Planilha1!$K127</f>
        <v>0</v>
      </c>
      <c r="M127" s="3"/>
      <c r="DL127" s="4" t="s">
        <v>235</v>
      </c>
      <c r="GM127" s="4" t="s">
        <v>398</v>
      </c>
      <c r="HM127" s="4"/>
    </row>
    <row r="128" spans="1:227" x14ac:dyDescent="0.25">
      <c r="A128" s="19" t="s">
        <v>589</v>
      </c>
      <c r="B128" s="13" t="s">
        <v>229</v>
      </c>
      <c r="C128" s="3"/>
      <c r="D128" s="4" t="s">
        <v>281</v>
      </c>
      <c r="E128" s="4" t="s">
        <v>282</v>
      </c>
      <c r="I128" s="4" t="s">
        <v>400</v>
      </c>
      <c r="J128" s="3"/>
      <c r="K128" s="3"/>
      <c r="L128" s="3">
        <f>Planilha1!$J128-Planilha1!$K128</f>
        <v>0</v>
      </c>
      <c r="M128" s="3"/>
      <c r="FR128" s="4" t="s">
        <v>235</v>
      </c>
      <c r="HM128" s="4"/>
    </row>
    <row r="129" spans="1:228" ht="30" x14ac:dyDescent="0.25">
      <c r="A129" s="19" t="s">
        <v>590</v>
      </c>
      <c r="B129" s="13" t="s">
        <v>229</v>
      </c>
      <c r="C129" s="3"/>
      <c r="D129" s="4" t="s">
        <v>281</v>
      </c>
      <c r="E129" s="4" t="s">
        <v>282</v>
      </c>
      <c r="I129" s="4" t="s">
        <v>406</v>
      </c>
      <c r="J129" s="3"/>
      <c r="K129" s="3"/>
      <c r="L129" s="3">
        <f>Planilha1!$J129-Planilha1!$K129</f>
        <v>0</v>
      </c>
      <c r="M129" s="3"/>
      <c r="N129" s="4" t="s">
        <v>591</v>
      </c>
      <c r="O129" s="4" t="s">
        <v>592</v>
      </c>
      <c r="AA129" s="4" t="s">
        <v>593</v>
      </c>
      <c r="AO129" s="4" t="s">
        <v>594</v>
      </c>
      <c r="BO129" s="4" t="s">
        <v>350</v>
      </c>
      <c r="EO129" s="4" t="s">
        <v>595</v>
      </c>
      <c r="ET129" s="4" t="s">
        <v>309</v>
      </c>
      <c r="FQ129" s="4" t="s">
        <v>309</v>
      </c>
      <c r="HM129" s="4"/>
    </row>
    <row r="130" spans="1:228" x14ac:dyDescent="0.25">
      <c r="A130" s="2" t="s">
        <v>596</v>
      </c>
      <c r="B130" s="13" t="s">
        <v>229</v>
      </c>
      <c r="C130" s="3"/>
      <c r="D130" s="4" t="s">
        <v>281</v>
      </c>
      <c r="E130" s="4" t="s">
        <v>338</v>
      </c>
      <c r="I130" s="4" t="s">
        <v>406</v>
      </c>
      <c r="J130" s="3"/>
      <c r="K130" s="3"/>
      <c r="L130" s="3">
        <f>Planilha1!$J130-Planilha1!$K130</f>
        <v>0</v>
      </c>
      <c r="M130" s="3"/>
      <c r="ET130" s="4" t="s">
        <v>398</v>
      </c>
      <c r="HM130" s="4"/>
    </row>
    <row r="131" spans="1:228" x14ac:dyDescent="0.25">
      <c r="A131" s="2" t="s">
        <v>597</v>
      </c>
      <c r="B131" s="13" t="s">
        <v>229</v>
      </c>
      <c r="C131" s="3"/>
      <c r="D131" s="4" t="s">
        <v>281</v>
      </c>
      <c r="E131" s="4" t="s">
        <v>338</v>
      </c>
      <c r="I131" s="4" t="s">
        <v>406</v>
      </c>
      <c r="J131" s="3"/>
      <c r="K131" s="3"/>
      <c r="L131" s="3">
        <f>Planilha1!$J131-Planilha1!$K131</f>
        <v>0</v>
      </c>
      <c r="M131" s="3"/>
      <c r="FM131" s="4" t="s">
        <v>309</v>
      </c>
      <c r="HM131" s="4"/>
    </row>
    <row r="132" spans="1:228" x14ac:dyDescent="0.25">
      <c r="A132" s="19" t="s">
        <v>598</v>
      </c>
      <c r="B132" s="13" t="s">
        <v>229</v>
      </c>
      <c r="C132" s="3"/>
      <c r="D132" s="4" t="s">
        <v>281</v>
      </c>
      <c r="E132" s="4" t="s">
        <v>282</v>
      </c>
      <c r="I132" s="4" t="s">
        <v>285</v>
      </c>
      <c r="J132" s="3"/>
      <c r="K132" s="3"/>
      <c r="L132" s="3">
        <f>Planilha1!$J132-Planilha1!$K132</f>
        <v>0</v>
      </c>
      <c r="M132" s="3"/>
      <c r="DY132" s="4" t="s">
        <v>599</v>
      </c>
      <c r="GF132" s="4" t="s">
        <v>600</v>
      </c>
      <c r="HM132" s="4"/>
    </row>
    <row r="133" spans="1:228" x14ac:dyDescent="0.25">
      <c r="A133" s="19" t="s">
        <v>601</v>
      </c>
      <c r="B133" s="13" t="s">
        <v>229</v>
      </c>
      <c r="C133" s="3"/>
      <c r="D133" s="4" t="s">
        <v>281</v>
      </c>
      <c r="E133" s="4" t="s">
        <v>282</v>
      </c>
      <c r="I133" s="4" t="s">
        <v>406</v>
      </c>
      <c r="J133" s="3"/>
      <c r="K133" s="3"/>
      <c r="L133" s="3">
        <f>Planilha1!$J133-Planilha1!$K133</f>
        <v>0</v>
      </c>
      <c r="M133" s="3"/>
      <c r="EB133" s="4" t="s">
        <v>398</v>
      </c>
      <c r="HM133" s="4"/>
    </row>
    <row r="134" spans="1:228" x14ac:dyDescent="0.25">
      <c r="A134" s="2" t="s">
        <v>602</v>
      </c>
      <c r="B134" s="13" t="s">
        <v>229</v>
      </c>
      <c r="C134" s="3"/>
      <c r="D134" s="4" t="s">
        <v>281</v>
      </c>
      <c r="E134" s="4" t="s">
        <v>282</v>
      </c>
      <c r="I134" s="4" t="s">
        <v>406</v>
      </c>
      <c r="J134" s="3"/>
      <c r="K134" s="3"/>
      <c r="L134" s="3">
        <f>Planilha1!$J134-Planilha1!$K134</f>
        <v>0</v>
      </c>
      <c r="M134" s="3"/>
      <c r="CQ134" s="4" t="s">
        <v>235</v>
      </c>
      <c r="HM134" s="4"/>
    </row>
    <row r="135" spans="1:228" ht="30" x14ac:dyDescent="0.25">
      <c r="A135" s="19" t="s">
        <v>603</v>
      </c>
      <c r="B135" s="13" t="s">
        <v>229</v>
      </c>
      <c r="C135" s="3"/>
      <c r="D135" s="4" t="s">
        <v>281</v>
      </c>
      <c r="E135" s="4" t="s">
        <v>604</v>
      </c>
      <c r="I135" s="4" t="s">
        <v>285</v>
      </c>
      <c r="J135" s="3"/>
      <c r="K135" s="3"/>
      <c r="L135" s="3">
        <f>Planilha1!$J135-Planilha1!$K135</f>
        <v>0</v>
      </c>
      <c r="M135" s="3"/>
      <c r="EI135" s="4" t="s">
        <v>235</v>
      </c>
      <c r="ET135" s="4" t="s">
        <v>398</v>
      </c>
      <c r="FP135" s="4" t="s">
        <v>235</v>
      </c>
      <c r="GM135" s="4" t="s">
        <v>600</v>
      </c>
      <c r="HM135" s="4"/>
    </row>
    <row r="136" spans="1:228" ht="30" x14ac:dyDescent="0.25">
      <c r="A136" s="19" t="s">
        <v>605</v>
      </c>
      <c r="B136" s="13" t="s">
        <v>229</v>
      </c>
      <c r="C136" s="3"/>
      <c r="D136" s="4" t="s">
        <v>606</v>
      </c>
      <c r="E136" s="4"/>
      <c r="F136" s="4" t="s">
        <v>292</v>
      </c>
      <c r="G136" s="4" t="s">
        <v>301</v>
      </c>
      <c r="I136" s="4" t="s">
        <v>607</v>
      </c>
      <c r="J136" s="3"/>
      <c r="K136" s="3"/>
      <c r="L136" s="3">
        <f>Planilha1!$J136-Planilha1!$K136</f>
        <v>0</v>
      </c>
      <c r="M136" s="3"/>
      <c r="AD136" s="4" t="s">
        <v>608</v>
      </c>
      <c r="AQ136" s="4" t="s">
        <v>609</v>
      </c>
      <c r="BT136" s="4" t="s">
        <v>610</v>
      </c>
      <c r="DG136" s="4" t="s">
        <v>611</v>
      </c>
      <c r="HM136" s="4"/>
    </row>
    <row r="137" spans="1:228" ht="45" x14ac:dyDescent="0.25">
      <c r="A137" s="19" t="s">
        <v>612</v>
      </c>
      <c r="B137" s="13" t="s">
        <v>229</v>
      </c>
      <c r="C137" s="3"/>
      <c r="D137" s="4" t="s">
        <v>230</v>
      </c>
      <c r="E137" s="4"/>
      <c r="F137" s="4" t="s">
        <v>231</v>
      </c>
      <c r="G137" s="4">
        <v>30</v>
      </c>
      <c r="I137" s="4" t="s">
        <v>293</v>
      </c>
      <c r="J137" s="3"/>
      <c r="K137" s="3"/>
      <c r="L137" s="3">
        <f>Planilha1!$J137-Planilha1!$K137</f>
        <v>0</v>
      </c>
      <c r="M137" s="3"/>
      <c r="DJ137" s="4" t="s">
        <v>327</v>
      </c>
      <c r="GZ137" s="4" t="s">
        <v>613</v>
      </c>
      <c r="HM137" s="4"/>
      <c r="HN137" s="4" t="s">
        <v>614</v>
      </c>
    </row>
    <row r="138" spans="1:228" ht="30" x14ac:dyDescent="0.25">
      <c r="A138" s="19" t="s">
        <v>615</v>
      </c>
      <c r="B138" s="13" t="s">
        <v>229</v>
      </c>
      <c r="C138" s="3"/>
      <c r="D138" s="4" t="s">
        <v>230</v>
      </c>
      <c r="E138" s="4"/>
      <c r="F138" s="4" t="s">
        <v>300</v>
      </c>
      <c r="G138" s="4" t="s">
        <v>301</v>
      </c>
      <c r="I138" s="4" t="s">
        <v>293</v>
      </c>
      <c r="J138" s="3"/>
      <c r="K138" s="3"/>
      <c r="L138" s="3">
        <f>Planilha1!$J138-Planilha1!$K138</f>
        <v>0</v>
      </c>
      <c r="M138" s="3"/>
      <c r="N138" s="4" t="s">
        <v>368</v>
      </c>
      <c r="O138" s="4" t="s">
        <v>616</v>
      </c>
      <c r="AR138" s="4" t="s">
        <v>617</v>
      </c>
      <c r="HE138" s="4" t="s">
        <v>532</v>
      </c>
      <c r="HM138" s="4"/>
    </row>
    <row r="139" spans="1:228" x14ac:dyDescent="0.25">
      <c r="A139" s="19" t="s">
        <v>618</v>
      </c>
      <c r="B139" s="13" t="s">
        <v>229</v>
      </c>
      <c r="C139" s="3"/>
      <c r="D139" s="4" t="s">
        <v>281</v>
      </c>
      <c r="E139" s="4" t="s">
        <v>338</v>
      </c>
      <c r="F139" s="4" t="s">
        <v>430</v>
      </c>
      <c r="I139" s="4" t="s">
        <v>397</v>
      </c>
      <c r="J139" s="3"/>
      <c r="K139" s="3"/>
      <c r="L139" s="3">
        <f>Planilha1!$J139-Planilha1!$K139</f>
        <v>0</v>
      </c>
      <c r="M139" s="3"/>
      <c r="BH139" s="4" t="s">
        <v>235</v>
      </c>
      <c r="HM139" s="4"/>
    </row>
    <row r="140" spans="1:228" ht="30" x14ac:dyDescent="0.25">
      <c r="A140" s="19" t="s">
        <v>619</v>
      </c>
      <c r="B140" s="13" t="s">
        <v>229</v>
      </c>
      <c r="C140" s="3"/>
      <c r="D140" s="4" t="s">
        <v>281</v>
      </c>
      <c r="E140" s="4" t="s">
        <v>282</v>
      </c>
      <c r="F140" s="4" t="s">
        <v>620</v>
      </c>
      <c r="I140" s="4" t="s">
        <v>285</v>
      </c>
      <c r="J140" s="3"/>
      <c r="K140" s="3"/>
      <c r="L140" s="3">
        <f>Planilha1!$J140-Planilha1!$K140</f>
        <v>0</v>
      </c>
      <c r="M140" s="3"/>
      <c r="GN140" s="4" t="s">
        <v>235</v>
      </c>
      <c r="HM140" s="4"/>
    </row>
    <row r="141" spans="1:228" x14ac:dyDescent="0.25">
      <c r="A141" s="19" t="s">
        <v>621</v>
      </c>
      <c r="B141" s="13" t="s">
        <v>229</v>
      </c>
      <c r="C141" s="3"/>
      <c r="D141" s="4" t="s">
        <v>281</v>
      </c>
      <c r="E141" s="4" t="s">
        <v>331</v>
      </c>
      <c r="I141" s="4" t="s">
        <v>285</v>
      </c>
      <c r="J141" s="3"/>
      <c r="K141" s="3"/>
      <c r="L141" s="3">
        <f>Planilha1!$J141-Planilha1!$K141</f>
        <v>0</v>
      </c>
      <c r="M141" s="3"/>
      <c r="FC141" s="4" t="s">
        <v>235</v>
      </c>
      <c r="HM141" s="4"/>
    </row>
    <row r="142" spans="1:228" x14ac:dyDescent="0.25">
      <c r="A142" s="19" t="s">
        <v>622</v>
      </c>
      <c r="B142" s="13" t="s">
        <v>229</v>
      </c>
      <c r="C142" s="3"/>
      <c r="D142" s="4" t="s">
        <v>281</v>
      </c>
      <c r="E142" s="4" t="s">
        <v>282</v>
      </c>
      <c r="I142" s="4" t="s">
        <v>332</v>
      </c>
      <c r="J142" s="3"/>
      <c r="K142" s="3"/>
      <c r="L142" s="3">
        <f>Planilha1!$J142-Planilha1!$K142</f>
        <v>0</v>
      </c>
      <c r="M142" s="3"/>
      <c r="GM142" s="4" t="s">
        <v>235</v>
      </c>
      <c r="HM142" s="4"/>
    </row>
    <row r="143" spans="1:228" ht="15" customHeight="1" x14ac:dyDescent="0.3">
      <c r="A143" s="28" t="s">
        <v>623</v>
      </c>
      <c r="B143" s="13" t="s">
        <v>229</v>
      </c>
      <c r="C143" s="29"/>
      <c r="D143" s="4"/>
      <c r="E143" s="4"/>
      <c r="J143" s="29"/>
      <c r="K143" s="29"/>
      <c r="L143" s="3">
        <f>Planilha1!$J143-Planilha1!$K143</f>
        <v>0</v>
      </c>
      <c r="M143" s="3"/>
      <c r="HM143" s="4"/>
      <c r="HT143" s="4" t="s">
        <v>624</v>
      </c>
    </row>
    <row r="144" spans="1:228" ht="17.25" customHeight="1" x14ac:dyDescent="0.25">
      <c r="A144" s="40" t="s">
        <v>628</v>
      </c>
      <c r="B144" s="13" t="s">
        <v>229</v>
      </c>
      <c r="C144" s="6"/>
      <c r="D144" s="4" t="s">
        <v>281</v>
      </c>
      <c r="E144" s="4" t="s">
        <v>331</v>
      </c>
      <c r="I144" s="4" t="s">
        <v>332</v>
      </c>
      <c r="J144" s="6"/>
      <c r="K144" s="6"/>
      <c r="L144" s="3">
        <f>Planilha1!$J147-Planilha1!$K147</f>
        <v>0</v>
      </c>
      <c r="M144" s="3" t="s">
        <v>629</v>
      </c>
      <c r="HM144" s="4"/>
      <c r="HR144" s="27"/>
      <c r="HS144" s="27"/>
    </row>
    <row r="145" spans="1:227" x14ac:dyDescent="0.25">
      <c r="A145" s="19" t="s">
        <v>625</v>
      </c>
      <c r="B145" s="13" t="s">
        <v>229</v>
      </c>
      <c r="C145" s="3"/>
      <c r="D145" s="4" t="s">
        <v>281</v>
      </c>
      <c r="E145" s="4" t="s">
        <v>282</v>
      </c>
      <c r="F145" s="4" t="s">
        <v>231</v>
      </c>
      <c r="I145" s="4" t="s">
        <v>285</v>
      </c>
      <c r="J145" s="3"/>
      <c r="K145" s="3"/>
      <c r="L145" s="3">
        <f>Planilha1!$J144-Planilha1!$K144</f>
        <v>0</v>
      </c>
      <c r="M145" s="3"/>
      <c r="HM145" s="4"/>
      <c r="HN145" s="4" t="s">
        <v>235</v>
      </c>
    </row>
    <row r="146" spans="1:227" x14ac:dyDescent="0.25">
      <c r="A146" s="19" t="s">
        <v>626</v>
      </c>
      <c r="B146" s="13" t="s">
        <v>229</v>
      </c>
      <c r="C146" s="3"/>
      <c r="D146" s="4" t="s">
        <v>281</v>
      </c>
      <c r="E146" s="4" t="s">
        <v>282</v>
      </c>
      <c r="F146" s="4" t="s">
        <v>231</v>
      </c>
      <c r="I146" s="4" t="s">
        <v>285</v>
      </c>
      <c r="J146" s="3"/>
      <c r="K146" s="3"/>
      <c r="L146" s="3">
        <f>Planilha1!$J145-Planilha1!$K145</f>
        <v>0</v>
      </c>
      <c r="M146" s="3"/>
      <c r="HM146" s="4"/>
      <c r="HN146" s="4" t="s">
        <v>235</v>
      </c>
    </row>
    <row r="147" spans="1:227" x14ac:dyDescent="0.25">
      <c r="A147" s="30" t="s">
        <v>627</v>
      </c>
      <c r="B147" s="13" t="s">
        <v>229</v>
      </c>
      <c r="C147" s="3"/>
      <c r="D147" s="4" t="s">
        <v>281</v>
      </c>
      <c r="E147" s="4" t="s">
        <v>331</v>
      </c>
      <c r="F147" s="4" t="s">
        <v>231</v>
      </c>
      <c r="I147" s="4" t="s">
        <v>332</v>
      </c>
      <c r="J147" s="3"/>
      <c r="K147" s="3"/>
      <c r="L147" s="3">
        <f>Planilha1!$J146-Planilha1!$K146</f>
        <v>0</v>
      </c>
      <c r="M147" s="3"/>
      <c r="EO147" s="4" t="s">
        <v>235</v>
      </c>
      <c r="HM147" s="4"/>
      <c r="HR147" s="27"/>
      <c r="HS147" s="27"/>
    </row>
    <row r="148" spans="1:227" x14ac:dyDescent="0.25">
      <c r="A148" s="19" t="s">
        <v>630</v>
      </c>
      <c r="B148" s="13" t="s">
        <v>229</v>
      </c>
      <c r="C148" s="3"/>
      <c r="D148" s="4" t="s">
        <v>281</v>
      </c>
      <c r="E148" s="4" t="s">
        <v>331</v>
      </c>
      <c r="I148" s="4" t="s">
        <v>285</v>
      </c>
      <c r="J148" s="3"/>
      <c r="K148" s="3"/>
      <c r="L148" s="3">
        <f>Planilha1!$J148-Planilha1!$K148</f>
        <v>0</v>
      </c>
      <c r="M148" s="3"/>
      <c r="GS148" s="4" t="s">
        <v>235</v>
      </c>
      <c r="HM148" s="4"/>
    </row>
    <row r="149" spans="1:227" x14ac:dyDescent="0.25">
      <c r="A149" s="19" t="s">
        <v>631</v>
      </c>
      <c r="B149" s="13" t="s">
        <v>229</v>
      </c>
      <c r="C149" s="3"/>
      <c r="D149" s="4" t="s">
        <v>281</v>
      </c>
      <c r="E149" s="4" t="s">
        <v>331</v>
      </c>
      <c r="I149" s="4" t="s">
        <v>285</v>
      </c>
      <c r="J149" s="3"/>
      <c r="K149" s="3"/>
      <c r="L149" s="3">
        <f>Planilha1!$J149-Planilha1!$K149</f>
        <v>0</v>
      </c>
      <c r="M149" s="3"/>
      <c r="FC149" s="4" t="s">
        <v>235</v>
      </c>
      <c r="GM149" s="4" t="s">
        <v>398</v>
      </c>
      <c r="HM149" s="4"/>
    </row>
    <row r="150" spans="1:227" x14ac:dyDescent="0.25">
      <c r="A150" s="19" t="s">
        <v>632</v>
      </c>
      <c r="B150" s="13" t="s">
        <v>229</v>
      </c>
      <c r="C150" s="3"/>
      <c r="D150" s="4" t="s">
        <v>281</v>
      </c>
      <c r="E150" s="4" t="s">
        <v>331</v>
      </c>
      <c r="I150" s="4" t="s">
        <v>332</v>
      </c>
      <c r="J150" s="3"/>
      <c r="K150" s="3"/>
      <c r="L150" s="3">
        <f>Planilha1!$J150-Planilha1!$K150</f>
        <v>0</v>
      </c>
      <c r="M150" s="3"/>
      <c r="GC150" s="4" t="s">
        <v>235</v>
      </c>
      <c r="HM150" s="4"/>
    </row>
    <row r="151" spans="1:227" x14ac:dyDescent="0.25">
      <c r="A151" s="2" t="s">
        <v>633</v>
      </c>
      <c r="B151" s="13" t="s">
        <v>229</v>
      </c>
      <c r="C151" s="3"/>
      <c r="D151" s="4" t="s">
        <v>281</v>
      </c>
      <c r="E151" s="4" t="s">
        <v>331</v>
      </c>
      <c r="I151" s="4" t="s">
        <v>397</v>
      </c>
      <c r="J151" s="3"/>
      <c r="K151" s="3"/>
      <c r="L151" s="3">
        <f>Planilha1!$J151-Planilha1!$K151</f>
        <v>0</v>
      </c>
      <c r="M151" s="3"/>
      <c r="AT151" s="4" t="s">
        <v>235</v>
      </c>
      <c r="DS151" s="4" t="s">
        <v>398</v>
      </c>
      <c r="HM151" s="4"/>
    </row>
    <row r="152" spans="1:227" ht="30" x14ac:dyDescent="0.25">
      <c r="A152" s="19" t="s">
        <v>634</v>
      </c>
      <c r="B152" s="13" t="s">
        <v>229</v>
      </c>
      <c r="C152" s="3"/>
      <c r="D152" s="4" t="s">
        <v>281</v>
      </c>
      <c r="E152" s="4" t="s">
        <v>331</v>
      </c>
      <c r="F152" s="4" t="s">
        <v>635</v>
      </c>
      <c r="I152" s="4" t="s">
        <v>636</v>
      </c>
      <c r="J152" s="3"/>
      <c r="K152" s="3"/>
      <c r="L152" s="3">
        <f>Planilha1!$J152-Planilha1!$K152</f>
        <v>0</v>
      </c>
      <c r="M152" s="3"/>
      <c r="GH152" s="4" t="s">
        <v>235</v>
      </c>
      <c r="HM152" s="4"/>
    </row>
    <row r="153" spans="1:227" ht="45" x14ac:dyDescent="0.25">
      <c r="A153" s="19" t="s">
        <v>637</v>
      </c>
      <c r="B153" s="13" t="s">
        <v>229</v>
      </c>
      <c r="C153" s="3"/>
      <c r="D153" s="4" t="s">
        <v>230</v>
      </c>
      <c r="E153" s="4"/>
      <c r="F153" s="4" t="s">
        <v>300</v>
      </c>
      <c r="G153" s="4" t="s">
        <v>301</v>
      </c>
      <c r="I153" s="4" t="s">
        <v>293</v>
      </c>
      <c r="J153" s="3"/>
      <c r="K153" s="3"/>
      <c r="L153" s="3">
        <f>Planilha1!$J153-Planilha1!$K153</f>
        <v>0</v>
      </c>
      <c r="M153" s="3"/>
      <c r="N153" s="4" t="s">
        <v>287</v>
      </c>
      <c r="T153" s="4" t="s">
        <v>638</v>
      </c>
      <c r="V153" s="4" t="s">
        <v>350</v>
      </c>
      <c r="AR153" s="4" t="s">
        <v>478</v>
      </c>
      <c r="GJ153" s="4" t="s">
        <v>472</v>
      </c>
      <c r="HM153" s="4"/>
    </row>
    <row r="154" spans="1:227" ht="30" x14ac:dyDescent="0.25">
      <c r="A154" s="19" t="s">
        <v>639</v>
      </c>
      <c r="B154" s="13" t="s">
        <v>229</v>
      </c>
      <c r="C154" s="3"/>
      <c r="D154" s="4" t="s">
        <v>230</v>
      </c>
      <c r="E154" s="4"/>
      <c r="F154" s="4" t="s">
        <v>460</v>
      </c>
      <c r="G154" s="4" t="s">
        <v>301</v>
      </c>
      <c r="I154" s="4" t="s">
        <v>293</v>
      </c>
      <c r="J154" s="3"/>
      <c r="K154" s="3"/>
      <c r="L154" s="3">
        <f>Planilha1!$J154-Planilha1!$K154</f>
        <v>0</v>
      </c>
      <c r="M154" s="3"/>
      <c r="DJ154" s="4" t="s">
        <v>640</v>
      </c>
      <c r="EF154" s="4" t="s">
        <v>420</v>
      </c>
      <c r="FC154" s="4" t="s">
        <v>420</v>
      </c>
      <c r="HG154" s="4" t="s">
        <v>532</v>
      </c>
      <c r="HM154" s="4"/>
    </row>
    <row r="155" spans="1:227" x14ac:dyDescent="0.25">
      <c r="A155" s="19" t="s">
        <v>641</v>
      </c>
      <c r="B155" s="13" t="s">
        <v>229</v>
      </c>
      <c r="C155" s="3"/>
      <c r="D155" s="4" t="s">
        <v>230</v>
      </c>
      <c r="E155" s="4"/>
      <c r="G155" s="4">
        <v>40</v>
      </c>
      <c r="I155" s="4" t="s">
        <v>482</v>
      </c>
      <c r="J155" s="3"/>
      <c r="K155" s="3"/>
      <c r="L155" s="3">
        <f>Planilha1!$J155-Planilha1!$K155</f>
        <v>0</v>
      </c>
      <c r="M155" s="3"/>
      <c r="GE155" s="4" t="s">
        <v>235</v>
      </c>
      <c r="HM155" s="4"/>
    </row>
    <row r="156" spans="1:227" x14ac:dyDescent="0.25">
      <c r="A156" s="19" t="s">
        <v>642</v>
      </c>
      <c r="B156" s="13" t="s">
        <v>229</v>
      </c>
      <c r="C156" s="3"/>
      <c r="D156" s="4" t="s">
        <v>230</v>
      </c>
      <c r="E156" s="4"/>
      <c r="F156" s="4" t="s">
        <v>231</v>
      </c>
      <c r="G156" s="4" t="s">
        <v>301</v>
      </c>
      <c r="I156" s="4" t="s">
        <v>233</v>
      </c>
      <c r="J156" s="3"/>
      <c r="K156" s="3"/>
      <c r="L156" s="3">
        <f>Planilha1!$J156-Planilha1!$K156</f>
        <v>0</v>
      </c>
      <c r="M156" s="3"/>
      <c r="DH156" s="4" t="s">
        <v>643</v>
      </c>
      <c r="DK156" s="4" t="s">
        <v>235</v>
      </c>
      <c r="HM156" s="4"/>
    </row>
    <row r="157" spans="1:227" ht="30" x14ac:dyDescent="0.25">
      <c r="A157" s="2" t="s">
        <v>644</v>
      </c>
      <c r="B157" s="13" t="s">
        <v>229</v>
      </c>
      <c r="C157" s="3"/>
      <c r="D157" s="4" t="s">
        <v>281</v>
      </c>
      <c r="E157" s="4" t="s">
        <v>282</v>
      </c>
      <c r="F157" s="4" t="s">
        <v>645</v>
      </c>
      <c r="G157" s="4">
        <v>40</v>
      </c>
      <c r="I157" s="4" t="s">
        <v>646</v>
      </c>
      <c r="J157" s="3"/>
      <c r="K157" s="3"/>
      <c r="L157" s="3">
        <f>Planilha1!$J157-Planilha1!$K157</f>
        <v>0</v>
      </c>
      <c r="M157" s="3"/>
      <c r="N157" s="4" t="s">
        <v>235</v>
      </c>
      <c r="CR157" s="4" t="s">
        <v>320</v>
      </c>
      <c r="FE157" s="4" t="s">
        <v>307</v>
      </c>
      <c r="HM157" s="4"/>
    </row>
    <row r="158" spans="1:227" x14ac:dyDescent="0.25">
      <c r="A158" s="19" t="s">
        <v>647</v>
      </c>
      <c r="B158" s="13" t="s">
        <v>229</v>
      </c>
      <c r="C158" s="3"/>
      <c r="D158" s="4" t="s">
        <v>281</v>
      </c>
      <c r="E158" s="4" t="s">
        <v>331</v>
      </c>
      <c r="F158" s="4" t="s">
        <v>648</v>
      </c>
      <c r="I158" s="4" t="s">
        <v>285</v>
      </c>
      <c r="J158" s="3"/>
      <c r="K158" s="3"/>
      <c r="L158" s="3">
        <f>Planilha1!$J158-Planilha1!$K158</f>
        <v>0</v>
      </c>
      <c r="M158" s="3"/>
      <c r="FW158" s="4" t="s">
        <v>235</v>
      </c>
      <c r="HM158" s="4"/>
    </row>
    <row r="159" spans="1:227" ht="30" x14ac:dyDescent="0.25">
      <c r="A159" s="19" t="s">
        <v>649</v>
      </c>
      <c r="B159" s="13" t="s">
        <v>229</v>
      </c>
      <c r="C159" s="3"/>
      <c r="D159" s="4" t="s">
        <v>281</v>
      </c>
      <c r="E159" s="4" t="s">
        <v>338</v>
      </c>
      <c r="I159" s="4" t="s">
        <v>285</v>
      </c>
      <c r="J159" s="3"/>
      <c r="K159" s="3"/>
      <c r="L159" s="3">
        <f>Planilha1!$J159-Planilha1!$K159</f>
        <v>0</v>
      </c>
      <c r="M159" s="3"/>
      <c r="FQ159" s="4" t="s">
        <v>235</v>
      </c>
      <c r="HM159" s="4"/>
    </row>
    <row r="160" spans="1:227" ht="30" x14ac:dyDescent="0.25">
      <c r="A160" s="19" t="s">
        <v>650</v>
      </c>
      <c r="B160" s="13" t="s">
        <v>229</v>
      </c>
      <c r="C160" s="3"/>
      <c r="D160" s="4" t="s">
        <v>281</v>
      </c>
      <c r="E160" s="4" t="s">
        <v>331</v>
      </c>
      <c r="F160" s="4" t="s">
        <v>651</v>
      </c>
      <c r="I160" s="4" t="s">
        <v>285</v>
      </c>
      <c r="J160" s="3"/>
      <c r="K160" s="3"/>
      <c r="L160" s="3">
        <f>Planilha1!$J160-Planilha1!$K160</f>
        <v>0</v>
      </c>
      <c r="M160" s="3"/>
      <c r="HL160" s="4" t="s">
        <v>235</v>
      </c>
      <c r="HM160" s="4"/>
    </row>
    <row r="161" spans="1:221" x14ac:dyDescent="0.25">
      <c r="A161" s="19" t="s">
        <v>652</v>
      </c>
      <c r="B161" s="13" t="s">
        <v>229</v>
      </c>
      <c r="C161" s="3"/>
      <c r="D161" s="4" t="s">
        <v>281</v>
      </c>
      <c r="E161" s="4" t="s">
        <v>331</v>
      </c>
      <c r="I161" s="4" t="s">
        <v>285</v>
      </c>
      <c r="J161" s="3"/>
      <c r="K161" s="3"/>
      <c r="L161" s="3">
        <f>Planilha1!$J161-Planilha1!$K161</f>
        <v>0</v>
      </c>
      <c r="M161" s="3"/>
      <c r="CU161" s="4" t="s">
        <v>235</v>
      </c>
      <c r="FC161" s="4" t="s">
        <v>398</v>
      </c>
      <c r="HM161" s="4"/>
    </row>
    <row r="162" spans="1:221" x14ac:dyDescent="0.25">
      <c r="A162" s="19" t="s">
        <v>653</v>
      </c>
      <c r="B162" s="13" t="s">
        <v>229</v>
      </c>
      <c r="C162" s="3"/>
      <c r="D162" s="4" t="s">
        <v>281</v>
      </c>
      <c r="E162" s="4" t="s">
        <v>338</v>
      </c>
      <c r="F162" s="4" t="s">
        <v>654</v>
      </c>
      <c r="G162" s="4">
        <v>40</v>
      </c>
      <c r="I162" s="4" t="s">
        <v>406</v>
      </c>
      <c r="J162" s="3"/>
      <c r="K162" s="3"/>
      <c r="L162" s="3">
        <f>Planilha1!$J162-Planilha1!$K162</f>
        <v>0</v>
      </c>
      <c r="M162" s="3"/>
      <c r="AH162" s="4" t="s">
        <v>235</v>
      </c>
      <c r="ET162" s="4" t="s">
        <v>398</v>
      </c>
      <c r="HM162" s="4"/>
    </row>
    <row r="163" spans="1:221" x14ac:dyDescent="0.25">
      <c r="A163" s="19" t="s">
        <v>655</v>
      </c>
      <c r="B163" s="13" t="s">
        <v>229</v>
      </c>
      <c r="C163" s="3"/>
      <c r="D163" s="4" t="s">
        <v>281</v>
      </c>
      <c r="E163" s="4" t="s">
        <v>331</v>
      </c>
      <c r="I163" s="4" t="s">
        <v>285</v>
      </c>
      <c r="J163" s="3"/>
      <c r="K163" s="3"/>
      <c r="L163" s="3">
        <f>Planilha1!$J163-Planilha1!$K163</f>
        <v>0</v>
      </c>
      <c r="M163" s="3"/>
      <c r="EU163" s="4" t="s">
        <v>354</v>
      </c>
      <c r="HL163" s="4" t="s">
        <v>235</v>
      </c>
      <c r="HM163" s="4"/>
    </row>
    <row r="164" spans="1:221" x14ac:dyDescent="0.25">
      <c r="A164" s="19" t="s">
        <v>656</v>
      </c>
      <c r="B164" s="13" t="s">
        <v>229</v>
      </c>
      <c r="C164" s="3"/>
      <c r="D164" s="4" t="s">
        <v>281</v>
      </c>
      <c r="E164" s="4" t="s">
        <v>331</v>
      </c>
      <c r="F164" s="4" t="s">
        <v>338</v>
      </c>
      <c r="I164" s="4" t="s">
        <v>285</v>
      </c>
      <c r="J164" s="3"/>
      <c r="K164" s="3"/>
      <c r="L164" s="3">
        <f>Planilha1!$J164-Planilha1!$K164</f>
        <v>0</v>
      </c>
      <c r="M164" s="3"/>
      <c r="HL164" s="4" t="s">
        <v>235</v>
      </c>
      <c r="HM164" s="4"/>
    </row>
    <row r="165" spans="1:221" x14ac:dyDescent="0.25">
      <c r="A165" s="19" t="s">
        <v>657</v>
      </c>
      <c r="B165" s="13" t="s">
        <v>229</v>
      </c>
      <c r="C165" s="3"/>
      <c r="D165" s="4" t="s">
        <v>281</v>
      </c>
      <c r="E165" s="4" t="s">
        <v>331</v>
      </c>
      <c r="F165" s="4" t="s">
        <v>338</v>
      </c>
      <c r="I165" s="4" t="s">
        <v>285</v>
      </c>
      <c r="J165" s="3"/>
      <c r="K165" s="3"/>
      <c r="L165" s="3">
        <f>Planilha1!$J165-Planilha1!$K165</f>
        <v>0</v>
      </c>
      <c r="M165" s="3"/>
      <c r="HL165" s="4" t="s">
        <v>235</v>
      </c>
      <c r="HM165" s="4"/>
    </row>
    <row r="166" spans="1:221" x14ac:dyDescent="0.25">
      <c r="A166" s="2" t="s">
        <v>658</v>
      </c>
      <c r="B166" s="13" t="s">
        <v>229</v>
      </c>
      <c r="C166" s="3"/>
      <c r="D166" s="4" t="s">
        <v>281</v>
      </c>
      <c r="E166" s="4" t="s">
        <v>331</v>
      </c>
      <c r="I166" s="4" t="s">
        <v>285</v>
      </c>
      <c r="J166" s="3"/>
      <c r="K166" s="3"/>
      <c r="L166" s="3">
        <f>Planilha1!$J166-Planilha1!$K166</f>
        <v>0</v>
      </c>
      <c r="M166" s="3"/>
      <c r="N166" s="4" t="s">
        <v>290</v>
      </c>
      <c r="AO166" s="4" t="s">
        <v>659</v>
      </c>
      <c r="HM166" s="4"/>
    </row>
    <row r="167" spans="1:221" ht="45" x14ac:dyDescent="0.25">
      <c r="A167" s="2" t="s">
        <v>660</v>
      </c>
      <c r="B167" s="13" t="s">
        <v>229</v>
      </c>
      <c r="C167" s="3"/>
      <c r="D167" s="4" t="s">
        <v>281</v>
      </c>
      <c r="E167" s="4" t="s">
        <v>331</v>
      </c>
      <c r="I167" s="4" t="s">
        <v>285</v>
      </c>
      <c r="J167" s="3"/>
      <c r="K167" s="3"/>
      <c r="L167" s="3">
        <f>Planilha1!$J167-Planilha1!$K167</f>
        <v>0</v>
      </c>
      <c r="M167" s="3"/>
      <c r="CQ167" s="4" t="s">
        <v>235</v>
      </c>
      <c r="FZ167" s="4" t="s">
        <v>661</v>
      </c>
      <c r="HM167" s="4"/>
    </row>
    <row r="168" spans="1:221" x14ac:dyDescent="0.25">
      <c r="A168" s="2" t="s">
        <v>662</v>
      </c>
      <c r="B168" s="13" t="s">
        <v>229</v>
      </c>
      <c r="C168" s="3"/>
      <c r="D168" s="4" t="s">
        <v>281</v>
      </c>
      <c r="E168" s="4" t="s">
        <v>331</v>
      </c>
      <c r="I168" s="4" t="s">
        <v>285</v>
      </c>
      <c r="J168" s="3"/>
      <c r="K168" s="3"/>
      <c r="L168" s="3">
        <f>Planilha1!$J168-Planilha1!$K168</f>
        <v>0</v>
      </c>
      <c r="M168" s="3"/>
      <c r="CP168" s="4" t="s">
        <v>235</v>
      </c>
      <c r="HM168" s="4"/>
    </row>
    <row r="169" spans="1:221" x14ac:dyDescent="0.25">
      <c r="A169" s="19" t="s">
        <v>663</v>
      </c>
      <c r="B169" s="13" t="s">
        <v>229</v>
      </c>
      <c r="C169" s="3"/>
      <c r="D169" s="4" t="s">
        <v>281</v>
      </c>
      <c r="E169" s="4" t="s">
        <v>331</v>
      </c>
      <c r="I169" s="4" t="s">
        <v>285</v>
      </c>
      <c r="J169" s="3"/>
      <c r="K169" s="3"/>
      <c r="L169" s="3">
        <f>Planilha1!$J169-Planilha1!$K169</f>
        <v>0</v>
      </c>
      <c r="M169" s="3"/>
      <c r="CU169" s="4" t="s">
        <v>235</v>
      </c>
      <c r="HM169" s="4"/>
    </row>
    <row r="170" spans="1:221" ht="60" x14ac:dyDescent="0.25">
      <c r="A170" s="2" t="s">
        <v>664</v>
      </c>
      <c r="B170" s="13" t="s">
        <v>229</v>
      </c>
      <c r="C170" s="3"/>
      <c r="D170" s="4" t="s">
        <v>281</v>
      </c>
      <c r="E170" s="4" t="s">
        <v>665</v>
      </c>
      <c r="I170" s="4" t="s">
        <v>285</v>
      </c>
      <c r="J170" s="3"/>
      <c r="K170" s="3"/>
      <c r="L170" s="3">
        <f>Planilha1!$J170-Planilha1!$K170</f>
        <v>0</v>
      </c>
      <c r="M170" s="3"/>
      <c r="BZ170" s="4" t="s">
        <v>235</v>
      </c>
      <c r="DN170" s="4" t="s">
        <v>666</v>
      </c>
      <c r="HM170" s="4"/>
    </row>
    <row r="171" spans="1:221" x14ac:dyDescent="0.25">
      <c r="A171" s="19" t="s">
        <v>667</v>
      </c>
      <c r="B171" s="13" t="s">
        <v>229</v>
      </c>
      <c r="C171" s="3"/>
      <c r="D171" s="4" t="s">
        <v>281</v>
      </c>
      <c r="E171" s="4" t="s">
        <v>331</v>
      </c>
      <c r="I171" s="4" t="s">
        <v>285</v>
      </c>
      <c r="J171" s="3"/>
      <c r="K171" s="3"/>
      <c r="L171" s="3">
        <f>Planilha1!$J171-Planilha1!$K171</f>
        <v>0</v>
      </c>
      <c r="M171" s="3"/>
      <c r="CY171" s="4" t="s">
        <v>235</v>
      </c>
      <c r="HM171" s="4"/>
    </row>
    <row r="172" spans="1:221" ht="30" x14ac:dyDescent="0.25">
      <c r="A172" s="2" t="s">
        <v>668</v>
      </c>
      <c r="B172" s="13" t="s">
        <v>229</v>
      </c>
      <c r="C172" s="3"/>
      <c r="D172" s="4" t="s">
        <v>281</v>
      </c>
      <c r="E172" s="4" t="s">
        <v>331</v>
      </c>
      <c r="I172" s="4" t="s">
        <v>285</v>
      </c>
      <c r="J172" s="3"/>
      <c r="K172" s="3"/>
      <c r="L172" s="3">
        <f>Planilha1!$J172-Planilha1!$K172</f>
        <v>0</v>
      </c>
      <c r="M172" s="3"/>
      <c r="CP172" s="4" t="s">
        <v>235</v>
      </c>
      <c r="DU172" s="4" t="s">
        <v>394</v>
      </c>
      <c r="HM172" s="4"/>
    </row>
    <row r="173" spans="1:221" x14ac:dyDescent="0.25">
      <c r="A173" s="19" t="s">
        <v>669</v>
      </c>
      <c r="B173" s="13" t="s">
        <v>229</v>
      </c>
      <c r="C173" s="3"/>
      <c r="D173" s="4" t="s">
        <v>281</v>
      </c>
      <c r="E173" s="4" t="s">
        <v>331</v>
      </c>
      <c r="I173" s="4" t="s">
        <v>285</v>
      </c>
      <c r="J173" s="3"/>
      <c r="K173" s="3"/>
      <c r="L173" s="3">
        <f>Planilha1!$J173-Planilha1!$K173</f>
        <v>0</v>
      </c>
      <c r="M173" s="3"/>
      <c r="CV173" s="4" t="s">
        <v>235</v>
      </c>
      <c r="HM173" s="4"/>
    </row>
    <row r="174" spans="1:221" x14ac:dyDescent="0.25">
      <c r="A174" s="2" t="s">
        <v>670</v>
      </c>
      <c r="B174" s="13" t="s">
        <v>229</v>
      </c>
      <c r="C174" s="3"/>
      <c r="D174" s="4" t="s">
        <v>281</v>
      </c>
      <c r="E174" s="4" t="s">
        <v>331</v>
      </c>
      <c r="I174" s="4" t="s">
        <v>285</v>
      </c>
      <c r="J174" s="3"/>
      <c r="K174" s="3"/>
      <c r="L174" s="3">
        <f>Planilha1!$J174-Planilha1!$K174</f>
        <v>0</v>
      </c>
      <c r="M174" s="3"/>
      <c r="CY174" s="4" t="s">
        <v>235</v>
      </c>
      <c r="FE174" s="4" t="s">
        <v>398</v>
      </c>
      <c r="HM174" s="4"/>
    </row>
    <row r="175" spans="1:221" ht="60" x14ac:dyDescent="0.25">
      <c r="A175" s="2" t="s">
        <v>671</v>
      </c>
      <c r="B175" s="13" t="s">
        <v>229</v>
      </c>
      <c r="C175" s="3"/>
      <c r="D175" s="4" t="s">
        <v>281</v>
      </c>
      <c r="E175" s="4" t="s">
        <v>331</v>
      </c>
      <c r="F175" s="4" t="s">
        <v>231</v>
      </c>
      <c r="I175" s="4" t="s">
        <v>285</v>
      </c>
      <c r="J175" s="3"/>
      <c r="K175" s="3"/>
      <c r="L175" s="3">
        <f>Planilha1!$J175-Planilha1!$K175</f>
        <v>0</v>
      </c>
      <c r="M175" s="3"/>
      <c r="CT175" s="4" t="s">
        <v>582</v>
      </c>
      <c r="GP175" s="4" t="s">
        <v>672</v>
      </c>
      <c r="HM175" s="4"/>
    </row>
    <row r="176" spans="1:221" ht="60" x14ac:dyDescent="0.25">
      <c r="A176" s="2" t="s">
        <v>673</v>
      </c>
      <c r="B176" s="13" t="s">
        <v>229</v>
      </c>
      <c r="C176" s="3"/>
      <c r="D176" s="4" t="s">
        <v>281</v>
      </c>
      <c r="E176" s="4" t="s">
        <v>331</v>
      </c>
      <c r="F176" s="4" t="s">
        <v>231</v>
      </c>
      <c r="I176" s="4" t="s">
        <v>285</v>
      </c>
      <c r="J176" s="3"/>
      <c r="K176" s="3"/>
      <c r="L176" s="3">
        <f>Planilha1!$J176-Planilha1!$K176</f>
        <v>0</v>
      </c>
      <c r="M176" s="3"/>
      <c r="CT176" s="4" t="s">
        <v>582</v>
      </c>
      <c r="FE176" s="4" t="s">
        <v>252</v>
      </c>
      <c r="GP176" s="4" t="s">
        <v>672</v>
      </c>
      <c r="HM176" s="4"/>
    </row>
    <row r="177" spans="1:221" ht="90" x14ac:dyDescent="0.25">
      <c r="A177" s="2" t="s">
        <v>674</v>
      </c>
      <c r="B177" s="13" t="s">
        <v>229</v>
      </c>
      <c r="C177" s="3"/>
      <c r="D177" s="4" t="s">
        <v>281</v>
      </c>
      <c r="E177" s="4" t="s">
        <v>331</v>
      </c>
      <c r="I177" s="4" t="s">
        <v>285</v>
      </c>
      <c r="J177" s="3"/>
      <c r="K177" s="3"/>
      <c r="L177" s="3">
        <f>Planilha1!$J177-Planilha1!$K177</f>
        <v>0</v>
      </c>
      <c r="M177" s="3"/>
      <c r="EO177" s="4" t="s">
        <v>675</v>
      </c>
      <c r="FC177" s="4" t="s">
        <v>676</v>
      </c>
      <c r="HM177" s="4"/>
    </row>
    <row r="178" spans="1:221" x14ac:dyDescent="0.25">
      <c r="A178" s="2" t="s">
        <v>677</v>
      </c>
      <c r="B178" s="13" t="s">
        <v>229</v>
      </c>
      <c r="C178" s="3"/>
      <c r="D178" s="4" t="s">
        <v>281</v>
      </c>
      <c r="E178" s="4" t="s">
        <v>338</v>
      </c>
      <c r="F178" s="4" t="s">
        <v>645</v>
      </c>
      <c r="G178" s="4">
        <v>40</v>
      </c>
      <c r="I178" s="4" t="s">
        <v>400</v>
      </c>
      <c r="J178" s="3"/>
      <c r="K178" s="3"/>
      <c r="L178" s="3">
        <f>Planilha1!$J178-Planilha1!$K178</f>
        <v>0</v>
      </c>
      <c r="M178" s="3"/>
      <c r="N178" s="4" t="s">
        <v>235</v>
      </c>
      <c r="CR178" s="4" t="s">
        <v>398</v>
      </c>
      <c r="HM178" s="4"/>
    </row>
    <row r="179" spans="1:221" x14ac:dyDescent="0.25">
      <c r="A179" s="2" t="s">
        <v>678</v>
      </c>
      <c r="B179" s="13" t="s">
        <v>229</v>
      </c>
      <c r="C179" s="3"/>
      <c r="D179" s="4" t="s">
        <v>281</v>
      </c>
      <c r="E179" s="4" t="s">
        <v>338</v>
      </c>
      <c r="F179" s="4" t="s">
        <v>645</v>
      </c>
      <c r="G179" s="4">
        <v>40</v>
      </c>
      <c r="I179" s="4" t="s">
        <v>406</v>
      </c>
      <c r="J179" s="3"/>
      <c r="K179" s="3"/>
      <c r="L179" s="3">
        <f>Planilha1!$J179-Planilha1!$K179</f>
        <v>0</v>
      </c>
      <c r="M179" s="3"/>
      <c r="N179" s="4" t="s">
        <v>287</v>
      </c>
      <c r="BW179" s="4" t="s">
        <v>458</v>
      </c>
      <c r="CF179" s="4" t="s">
        <v>679</v>
      </c>
      <c r="CR179" s="4" t="s">
        <v>398</v>
      </c>
      <c r="HM179" s="4"/>
    </row>
    <row r="180" spans="1:221" ht="30" x14ac:dyDescent="0.25">
      <c r="A180" s="2" t="s">
        <v>680</v>
      </c>
      <c r="B180" s="13" t="s">
        <v>229</v>
      </c>
      <c r="C180" s="3"/>
      <c r="D180" s="4" t="s">
        <v>281</v>
      </c>
      <c r="E180" s="4" t="s">
        <v>282</v>
      </c>
      <c r="F180" s="4" t="s">
        <v>645</v>
      </c>
      <c r="G180" s="4">
        <v>40</v>
      </c>
      <c r="I180" s="4" t="s">
        <v>646</v>
      </c>
      <c r="J180" s="3"/>
      <c r="K180" s="3"/>
      <c r="L180" s="3">
        <f>Planilha1!$J180-Planilha1!$K180</f>
        <v>0</v>
      </c>
      <c r="M180" s="3"/>
      <c r="N180" s="4" t="s">
        <v>681</v>
      </c>
      <c r="AA180" s="4" t="s">
        <v>487</v>
      </c>
      <c r="AH180" s="4" t="s">
        <v>682</v>
      </c>
      <c r="BW180" s="4" t="s">
        <v>683</v>
      </c>
      <c r="CR180" s="4" t="s">
        <v>398</v>
      </c>
      <c r="HM180" s="4"/>
    </row>
    <row r="181" spans="1:221" x14ac:dyDescent="0.25">
      <c r="A181" s="2" t="s">
        <v>684</v>
      </c>
      <c r="B181" s="13" t="s">
        <v>229</v>
      </c>
      <c r="C181" s="3"/>
      <c r="D181" s="4" t="s">
        <v>281</v>
      </c>
      <c r="E181" s="4" t="s">
        <v>282</v>
      </c>
      <c r="I181" s="4" t="s">
        <v>406</v>
      </c>
      <c r="J181" s="3"/>
      <c r="K181" s="3"/>
      <c r="L181" s="3">
        <f>Planilha1!$J181-Planilha1!$K181</f>
        <v>0</v>
      </c>
      <c r="M181" s="3"/>
      <c r="CR181" s="4" t="s">
        <v>685</v>
      </c>
      <c r="ET181" s="4" t="s">
        <v>309</v>
      </c>
      <c r="FE181" s="4" t="s">
        <v>306</v>
      </c>
      <c r="HM181" s="4"/>
    </row>
    <row r="182" spans="1:221" x14ac:dyDescent="0.25">
      <c r="A182" s="2" t="s">
        <v>686</v>
      </c>
      <c r="B182" s="13" t="s">
        <v>229</v>
      </c>
      <c r="C182" s="3"/>
      <c r="D182" s="4" t="s">
        <v>281</v>
      </c>
      <c r="E182" s="4" t="s">
        <v>282</v>
      </c>
      <c r="I182" s="4" t="s">
        <v>400</v>
      </c>
      <c r="J182" s="3"/>
      <c r="K182" s="3"/>
      <c r="L182" s="3">
        <f>Planilha1!$J182-Planilha1!$K182</f>
        <v>0</v>
      </c>
      <c r="M182" s="3"/>
      <c r="CR182" s="4" t="s">
        <v>687</v>
      </c>
      <c r="HM182" s="4"/>
    </row>
    <row r="183" spans="1:221" ht="60" x14ac:dyDescent="0.25">
      <c r="A183" s="2" t="s">
        <v>688</v>
      </c>
      <c r="B183" s="13" t="s">
        <v>229</v>
      </c>
      <c r="C183" s="3"/>
      <c r="D183" s="4" t="s">
        <v>281</v>
      </c>
      <c r="E183" s="4" t="s">
        <v>331</v>
      </c>
      <c r="I183" s="4" t="s">
        <v>285</v>
      </c>
      <c r="J183" s="3"/>
      <c r="K183" s="3"/>
      <c r="L183" s="3">
        <f>Planilha1!$J183-Planilha1!$K183</f>
        <v>0</v>
      </c>
      <c r="M183" s="3"/>
      <c r="BG183" s="4" t="s">
        <v>354</v>
      </c>
      <c r="EU183" s="4" t="s">
        <v>689</v>
      </c>
      <c r="HM183" s="4"/>
    </row>
    <row r="184" spans="1:221" ht="30" x14ac:dyDescent="0.25">
      <c r="A184" s="31" t="s">
        <v>690</v>
      </c>
      <c r="B184" s="13" t="s">
        <v>229</v>
      </c>
      <c r="C184" s="3"/>
      <c r="D184" s="4" t="s">
        <v>281</v>
      </c>
      <c r="E184" s="4" t="s">
        <v>282</v>
      </c>
      <c r="I184" s="4" t="s">
        <v>406</v>
      </c>
      <c r="J184" s="3"/>
      <c r="K184" s="3"/>
      <c r="L184" s="3">
        <f>Planilha1!$J184-Planilha1!$K184</f>
        <v>0</v>
      </c>
      <c r="M184" s="3"/>
      <c r="N184" s="4" t="s">
        <v>287</v>
      </c>
      <c r="W184" s="4" t="s">
        <v>350</v>
      </c>
      <c r="AA184" s="4" t="s">
        <v>691</v>
      </c>
      <c r="AO184" s="4" t="s">
        <v>513</v>
      </c>
      <c r="FM184" s="4" t="s">
        <v>309</v>
      </c>
      <c r="GM184" s="4" t="s">
        <v>309</v>
      </c>
      <c r="HM184" s="4"/>
    </row>
    <row r="185" spans="1:221" x14ac:dyDescent="0.25">
      <c r="A185" s="31" t="s">
        <v>692</v>
      </c>
      <c r="B185" s="13" t="s">
        <v>229</v>
      </c>
      <c r="C185" s="3"/>
      <c r="D185" s="4" t="s">
        <v>281</v>
      </c>
      <c r="E185" s="4" t="s">
        <v>282</v>
      </c>
      <c r="I185" s="4" t="s">
        <v>646</v>
      </c>
      <c r="J185" s="3"/>
      <c r="K185" s="3"/>
      <c r="L185" s="3">
        <f>Planilha1!$J185-Planilha1!$K185</f>
        <v>0</v>
      </c>
      <c r="M185" s="3"/>
      <c r="AO185" s="4" t="s">
        <v>693</v>
      </c>
      <c r="HM185" s="4"/>
    </row>
    <row r="186" spans="1:221" x14ac:dyDescent="0.25">
      <c r="A186" s="31" t="s">
        <v>694</v>
      </c>
      <c r="B186" s="13" t="s">
        <v>229</v>
      </c>
      <c r="C186" s="3"/>
      <c r="D186" s="4" t="s">
        <v>281</v>
      </c>
      <c r="E186" s="4" t="s">
        <v>282</v>
      </c>
      <c r="I186" s="4" t="s">
        <v>646</v>
      </c>
      <c r="J186" s="3"/>
      <c r="K186" s="3"/>
      <c r="L186" s="3">
        <f>Planilha1!$J186-Planilha1!$K186</f>
        <v>0</v>
      </c>
      <c r="M186" s="3"/>
      <c r="AO186" s="4" t="s">
        <v>695</v>
      </c>
      <c r="EJ186" s="4" t="s">
        <v>595</v>
      </c>
      <c r="HM186" s="4"/>
    </row>
    <row r="187" spans="1:221" x14ac:dyDescent="0.25">
      <c r="A187" s="31" t="s">
        <v>696</v>
      </c>
      <c r="B187" s="13" t="s">
        <v>229</v>
      </c>
      <c r="C187" s="3"/>
      <c r="D187" s="4" t="s">
        <v>281</v>
      </c>
      <c r="E187" s="4" t="s">
        <v>282</v>
      </c>
      <c r="I187" s="4" t="s">
        <v>646</v>
      </c>
      <c r="J187" s="3"/>
      <c r="K187" s="3"/>
      <c r="L187" s="3">
        <f>Planilha1!$J187-Planilha1!$K187</f>
        <v>0</v>
      </c>
      <c r="M187" s="3"/>
      <c r="AO187" s="4" t="s">
        <v>697</v>
      </c>
      <c r="DY187" s="4" t="s">
        <v>595</v>
      </c>
      <c r="EG187" s="4" t="s">
        <v>698</v>
      </c>
      <c r="EJ187" s="4">
        <v>-3</v>
      </c>
      <c r="EO187" s="4" t="s">
        <v>699</v>
      </c>
      <c r="HM187" s="4"/>
    </row>
    <row r="188" spans="1:221" x14ac:dyDescent="0.25">
      <c r="A188" s="31" t="s">
        <v>700</v>
      </c>
      <c r="B188" s="13" t="s">
        <v>229</v>
      </c>
      <c r="C188" s="3"/>
      <c r="D188" s="4" t="s">
        <v>281</v>
      </c>
      <c r="E188" s="4" t="s">
        <v>282</v>
      </c>
      <c r="I188" s="4" t="s">
        <v>646</v>
      </c>
      <c r="J188" s="3"/>
      <c r="K188" s="3"/>
      <c r="L188" s="3">
        <f>Planilha1!$J188-Planilha1!$K188</f>
        <v>0</v>
      </c>
      <c r="M188" s="3"/>
      <c r="N188" s="4" t="s">
        <v>368</v>
      </c>
      <c r="W188" s="4" t="s">
        <v>413</v>
      </c>
      <c r="AO188" s="4" t="s">
        <v>701</v>
      </c>
      <c r="EJ188" s="4" t="s">
        <v>702</v>
      </c>
      <c r="HM188" s="4"/>
    </row>
    <row r="189" spans="1:221" ht="75" x14ac:dyDescent="0.25">
      <c r="A189" s="19" t="s">
        <v>703</v>
      </c>
      <c r="B189" s="13" t="s">
        <v>229</v>
      </c>
      <c r="C189" s="3"/>
      <c r="D189" s="4" t="s">
        <v>281</v>
      </c>
      <c r="E189" s="4" t="s">
        <v>331</v>
      </c>
      <c r="F189" s="4" t="s">
        <v>704</v>
      </c>
      <c r="I189" s="4" t="s">
        <v>285</v>
      </c>
      <c r="J189" s="3"/>
      <c r="K189" s="3"/>
      <c r="L189" s="3">
        <f>Planilha1!$J189-Planilha1!$K189</f>
        <v>0</v>
      </c>
      <c r="M189" s="3"/>
      <c r="FG189" s="4" t="s">
        <v>235</v>
      </c>
      <c r="HM189" s="4"/>
    </row>
    <row r="190" spans="1:221" ht="30" x14ac:dyDescent="0.25">
      <c r="A190" s="19" t="s">
        <v>705</v>
      </c>
      <c r="B190" s="13" t="s">
        <v>229</v>
      </c>
      <c r="C190" s="3"/>
      <c r="D190" s="4" t="s">
        <v>281</v>
      </c>
      <c r="E190" s="4" t="s">
        <v>282</v>
      </c>
      <c r="I190" s="4" t="s">
        <v>285</v>
      </c>
      <c r="J190" s="3"/>
      <c r="K190" s="3"/>
      <c r="L190" s="3">
        <f>Planilha1!$J190-Planilha1!$K190</f>
        <v>0</v>
      </c>
      <c r="M190" s="3"/>
      <c r="W190" s="4" t="s">
        <v>235</v>
      </c>
      <c r="EO190" s="4" t="s">
        <v>706</v>
      </c>
      <c r="EV190" s="4" t="s">
        <v>707</v>
      </c>
      <c r="HM190" s="4"/>
    </row>
    <row r="191" spans="1:221" ht="60" x14ac:dyDescent="0.25">
      <c r="A191" s="2" t="s">
        <v>708</v>
      </c>
      <c r="B191" s="13" t="s">
        <v>229</v>
      </c>
      <c r="C191" s="3"/>
      <c r="D191" s="4" t="s">
        <v>281</v>
      </c>
      <c r="E191" s="4" t="s">
        <v>331</v>
      </c>
      <c r="F191" s="4" t="s">
        <v>709</v>
      </c>
      <c r="I191" s="4" t="s">
        <v>285</v>
      </c>
      <c r="J191" s="3"/>
      <c r="K191" s="3"/>
      <c r="L191" s="3">
        <f>Planilha1!$J191-Planilha1!$K191</f>
        <v>0</v>
      </c>
      <c r="M191" s="3"/>
      <c r="BH191" s="4" t="s">
        <v>235</v>
      </c>
      <c r="DN191" s="4" t="s">
        <v>666</v>
      </c>
      <c r="HM191" s="4"/>
    </row>
    <row r="192" spans="1:221" x14ac:dyDescent="0.25">
      <c r="A192" s="19" t="s">
        <v>710</v>
      </c>
      <c r="B192" s="13" t="s">
        <v>229</v>
      </c>
      <c r="C192" s="3"/>
      <c r="D192" s="4" t="s">
        <v>281</v>
      </c>
      <c r="E192" s="4" t="s">
        <v>331</v>
      </c>
      <c r="I192" s="4" t="s">
        <v>285</v>
      </c>
      <c r="J192" s="3"/>
      <c r="K192" s="3"/>
      <c r="L192" s="3">
        <f>Planilha1!$J192-Planilha1!$K192</f>
        <v>0</v>
      </c>
      <c r="M192" s="3"/>
      <c r="BE192" s="4" t="s">
        <v>235</v>
      </c>
      <c r="HM192" s="4"/>
    </row>
    <row r="193" spans="1:221" ht="45" x14ac:dyDescent="0.25">
      <c r="A193" s="2" t="s">
        <v>711</v>
      </c>
      <c r="B193" s="13" t="s">
        <v>229</v>
      </c>
      <c r="C193" s="3"/>
      <c r="D193" s="4" t="s">
        <v>281</v>
      </c>
      <c r="E193" s="4" t="s">
        <v>331</v>
      </c>
      <c r="I193" s="4" t="s">
        <v>285</v>
      </c>
      <c r="J193" s="3"/>
      <c r="K193" s="3"/>
      <c r="L193" s="3">
        <f>Planilha1!$J193-Planilha1!$K193</f>
        <v>0</v>
      </c>
      <c r="M193" s="3"/>
      <c r="CO193" s="4" t="s">
        <v>712</v>
      </c>
      <c r="HM193" s="4"/>
    </row>
    <row r="194" spans="1:221" x14ac:dyDescent="0.25">
      <c r="A194" s="19" t="s">
        <v>713</v>
      </c>
      <c r="B194" s="13" t="s">
        <v>229</v>
      </c>
      <c r="C194" s="3"/>
      <c r="D194" s="4" t="s">
        <v>281</v>
      </c>
      <c r="E194" s="4" t="s">
        <v>331</v>
      </c>
      <c r="I194" s="4" t="s">
        <v>285</v>
      </c>
      <c r="J194" s="3"/>
      <c r="K194" s="3"/>
      <c r="L194" s="3">
        <f>Planilha1!$J194-Planilha1!$K194</f>
        <v>0</v>
      </c>
      <c r="M194" s="3"/>
      <c r="BK194" s="4" t="s">
        <v>235</v>
      </c>
      <c r="HM194" s="4"/>
    </row>
    <row r="195" spans="1:221" x14ac:dyDescent="0.25">
      <c r="A195" s="19" t="s">
        <v>714</v>
      </c>
      <c r="B195" s="13" t="s">
        <v>229</v>
      </c>
      <c r="C195" s="3"/>
      <c r="D195" s="4" t="s">
        <v>281</v>
      </c>
      <c r="E195" s="4" t="s">
        <v>331</v>
      </c>
      <c r="I195" s="4" t="s">
        <v>285</v>
      </c>
      <c r="J195" s="3"/>
      <c r="K195" s="3"/>
      <c r="L195" s="3">
        <f>Planilha1!$J195-Planilha1!$K195</f>
        <v>0</v>
      </c>
      <c r="M195" s="3"/>
      <c r="BG195" s="4" t="s">
        <v>235</v>
      </c>
      <c r="HM195" s="4"/>
    </row>
    <row r="196" spans="1:221" x14ac:dyDescent="0.25">
      <c r="A196" s="19" t="s">
        <v>715</v>
      </c>
      <c r="B196" s="13" t="s">
        <v>229</v>
      </c>
      <c r="C196" s="3"/>
      <c r="D196" s="4" t="s">
        <v>281</v>
      </c>
      <c r="E196" s="4" t="s">
        <v>282</v>
      </c>
      <c r="I196" s="4" t="s">
        <v>285</v>
      </c>
      <c r="J196" s="3"/>
      <c r="K196" s="3"/>
      <c r="L196" s="3">
        <f>Planilha1!$J196-Planilha1!$K196</f>
        <v>0</v>
      </c>
      <c r="M196" s="3"/>
      <c r="DO196" s="4" t="s">
        <v>235</v>
      </c>
      <c r="HM196" s="4"/>
    </row>
    <row r="197" spans="1:221" ht="30" x14ac:dyDescent="0.25">
      <c r="A197" s="2" t="s">
        <v>716</v>
      </c>
      <c r="B197" s="13" t="s">
        <v>229</v>
      </c>
      <c r="C197" s="3"/>
      <c r="D197" s="4" t="s">
        <v>281</v>
      </c>
      <c r="E197" s="4" t="s">
        <v>338</v>
      </c>
      <c r="I197" s="4" t="s">
        <v>285</v>
      </c>
      <c r="J197" s="3"/>
      <c r="K197" s="3"/>
      <c r="L197" s="3">
        <f>Planilha1!$J197-Planilha1!$K197</f>
        <v>0</v>
      </c>
      <c r="M197" s="3"/>
      <c r="CO197" s="4" t="s">
        <v>235</v>
      </c>
      <c r="DW197" s="4" t="s">
        <v>398</v>
      </c>
      <c r="FP197" s="4" t="s">
        <v>398</v>
      </c>
      <c r="HM197" s="4"/>
    </row>
    <row r="198" spans="1:221" x14ac:dyDescent="0.25">
      <c r="A198" s="19" t="s">
        <v>717</v>
      </c>
      <c r="B198" s="13" t="s">
        <v>229</v>
      </c>
      <c r="C198" s="3"/>
      <c r="D198" s="4" t="s">
        <v>281</v>
      </c>
      <c r="E198" s="4" t="s">
        <v>331</v>
      </c>
      <c r="F198" s="4" t="s">
        <v>718</v>
      </c>
      <c r="G198" s="4">
        <v>40</v>
      </c>
      <c r="I198" s="4" t="s">
        <v>285</v>
      </c>
      <c r="J198" s="3"/>
      <c r="K198" s="3"/>
      <c r="L198" s="3">
        <f>Planilha1!$J198-Planilha1!$K198</f>
        <v>0</v>
      </c>
      <c r="M198" s="3"/>
      <c r="BC198" s="4" t="s">
        <v>235</v>
      </c>
      <c r="HM198" s="4"/>
    </row>
    <row r="199" spans="1:221" ht="75" x14ac:dyDescent="0.25">
      <c r="A199" s="19" t="s">
        <v>719</v>
      </c>
      <c r="B199" s="13" t="s">
        <v>229</v>
      </c>
      <c r="C199" s="3"/>
      <c r="D199" s="4" t="s">
        <v>281</v>
      </c>
      <c r="E199" s="4" t="s">
        <v>282</v>
      </c>
      <c r="I199" s="4" t="s">
        <v>285</v>
      </c>
      <c r="J199" s="3"/>
      <c r="K199" s="3"/>
      <c r="L199" s="3">
        <f>Planilha1!$J199-Planilha1!$K199</f>
        <v>0</v>
      </c>
      <c r="M199" s="3"/>
      <c r="FR199" s="4" t="s">
        <v>720</v>
      </c>
      <c r="HM199" s="4"/>
    </row>
    <row r="200" spans="1:221" x14ac:dyDescent="0.25">
      <c r="A200" s="19" t="s">
        <v>721</v>
      </c>
      <c r="B200" s="13" t="s">
        <v>229</v>
      </c>
      <c r="C200" s="3"/>
      <c r="D200" s="4" t="s">
        <v>281</v>
      </c>
      <c r="E200" s="4" t="s">
        <v>282</v>
      </c>
      <c r="I200" s="4" t="s">
        <v>285</v>
      </c>
      <c r="J200" s="3"/>
      <c r="K200" s="3"/>
      <c r="L200" s="3">
        <f>Planilha1!$J200-Planilha1!$K200</f>
        <v>0</v>
      </c>
      <c r="M200" s="3"/>
      <c r="DP200" s="4" t="s">
        <v>235</v>
      </c>
      <c r="HM200" s="4"/>
    </row>
    <row r="201" spans="1:221" x14ac:dyDescent="0.25">
      <c r="A201" s="19" t="s">
        <v>722</v>
      </c>
      <c r="B201" s="13" t="s">
        <v>229</v>
      </c>
      <c r="C201" s="3"/>
      <c r="D201" s="4" t="s">
        <v>281</v>
      </c>
      <c r="E201" s="4" t="s">
        <v>338</v>
      </c>
      <c r="I201" s="4" t="s">
        <v>285</v>
      </c>
      <c r="J201" s="3"/>
      <c r="K201" s="3"/>
      <c r="L201" s="3">
        <f>Planilha1!$J201-Planilha1!$K201</f>
        <v>0</v>
      </c>
      <c r="M201" s="3"/>
      <c r="CO201" s="4" t="s">
        <v>235</v>
      </c>
      <c r="HM201" s="4"/>
    </row>
    <row r="202" spans="1:221" ht="45" x14ac:dyDescent="0.25">
      <c r="A202" s="2" t="s">
        <v>723</v>
      </c>
      <c r="B202" s="13" t="s">
        <v>229</v>
      </c>
      <c r="C202" s="3"/>
      <c r="D202" s="4" t="s">
        <v>281</v>
      </c>
      <c r="E202" s="4" t="s">
        <v>331</v>
      </c>
      <c r="I202" s="4" t="s">
        <v>285</v>
      </c>
      <c r="J202" s="3"/>
      <c r="K202" s="3"/>
      <c r="L202" s="3">
        <f>Planilha1!$J202-Planilha1!$K202</f>
        <v>0</v>
      </c>
      <c r="M202" s="3"/>
      <c r="BM202" s="4" t="s">
        <v>391</v>
      </c>
      <c r="HM202" s="4"/>
    </row>
    <row r="203" spans="1:221" x14ac:dyDescent="0.25">
      <c r="A203" s="19" t="s">
        <v>724</v>
      </c>
      <c r="B203" s="13" t="s">
        <v>229</v>
      </c>
      <c r="C203" s="3"/>
      <c r="D203" s="4" t="s">
        <v>281</v>
      </c>
      <c r="E203" s="4" t="s">
        <v>331</v>
      </c>
      <c r="I203" s="4" t="s">
        <v>285</v>
      </c>
      <c r="J203" s="3"/>
      <c r="K203" s="3"/>
      <c r="L203" s="3">
        <f>Planilha1!$J203-Planilha1!$K203</f>
        <v>0</v>
      </c>
      <c r="M203" s="3"/>
      <c r="FC203" s="4" t="s">
        <v>235</v>
      </c>
      <c r="HM203" s="4"/>
    </row>
    <row r="204" spans="1:221" x14ac:dyDescent="0.25">
      <c r="A204" s="2" t="s">
        <v>725</v>
      </c>
      <c r="B204" s="13" t="s">
        <v>229</v>
      </c>
      <c r="C204" s="3"/>
      <c r="D204" s="4" t="s">
        <v>281</v>
      </c>
      <c r="E204" s="4" t="s">
        <v>331</v>
      </c>
      <c r="I204" s="4" t="s">
        <v>285</v>
      </c>
      <c r="J204" s="3"/>
      <c r="K204" s="3"/>
      <c r="L204" s="3">
        <f>Planilha1!$J204-Planilha1!$K204</f>
        <v>0</v>
      </c>
      <c r="M204" s="3"/>
      <c r="R204" s="4" t="s">
        <v>235</v>
      </c>
      <c r="BB204" s="4" t="s">
        <v>398</v>
      </c>
      <c r="HM204" s="4"/>
    </row>
    <row r="205" spans="1:221" x14ac:dyDescent="0.25">
      <c r="A205" s="2" t="s">
        <v>726</v>
      </c>
      <c r="B205" s="13" t="s">
        <v>229</v>
      </c>
      <c r="C205" s="3"/>
      <c r="D205" s="4" t="s">
        <v>281</v>
      </c>
      <c r="E205" s="4" t="s">
        <v>331</v>
      </c>
      <c r="I205" s="4" t="s">
        <v>332</v>
      </c>
      <c r="J205" s="3"/>
      <c r="K205" s="3"/>
      <c r="L205" s="3">
        <f>Planilha1!$J205-Planilha1!$K205</f>
        <v>0</v>
      </c>
      <c r="M205" s="3"/>
      <c r="R205" s="4" t="s">
        <v>235</v>
      </c>
      <c r="BB205" s="4" t="s">
        <v>398</v>
      </c>
      <c r="HM205" s="4"/>
    </row>
    <row r="206" spans="1:221" ht="135" x14ac:dyDescent="0.25">
      <c r="A206" s="19" t="s">
        <v>727</v>
      </c>
      <c r="B206" s="13" t="s">
        <v>229</v>
      </c>
      <c r="C206" s="3"/>
      <c r="D206" s="4" t="s">
        <v>281</v>
      </c>
      <c r="E206" s="4" t="s">
        <v>331</v>
      </c>
      <c r="F206" s="4" t="s">
        <v>728</v>
      </c>
      <c r="I206" s="4" t="s">
        <v>285</v>
      </c>
      <c r="J206" s="3"/>
      <c r="K206" s="3"/>
      <c r="L206" s="3">
        <f>Planilha1!$J206-Planilha1!$K206</f>
        <v>0</v>
      </c>
      <c r="M206" s="3"/>
      <c r="CD206" s="4" t="s">
        <v>235</v>
      </c>
      <c r="DA206" s="4" t="s">
        <v>729</v>
      </c>
      <c r="DV206" s="4" t="s">
        <v>730</v>
      </c>
      <c r="HM206" s="4"/>
    </row>
    <row r="207" spans="1:221" ht="30" x14ac:dyDescent="0.25">
      <c r="A207" s="19" t="s">
        <v>731</v>
      </c>
      <c r="B207" s="13" t="s">
        <v>229</v>
      </c>
      <c r="C207" s="3"/>
      <c r="D207" s="4" t="s">
        <v>281</v>
      </c>
      <c r="E207" s="4" t="s">
        <v>338</v>
      </c>
      <c r="I207" s="4" t="s">
        <v>285</v>
      </c>
      <c r="J207" s="3"/>
      <c r="K207" s="3"/>
      <c r="L207" s="3">
        <f>Planilha1!$J207-Planilha1!$K207</f>
        <v>0</v>
      </c>
      <c r="M207" s="3"/>
      <c r="BB207" s="4" t="s">
        <v>235</v>
      </c>
      <c r="HM207" s="4"/>
    </row>
    <row r="208" spans="1:221" ht="30" x14ac:dyDescent="0.25">
      <c r="A208" s="2" t="s">
        <v>732</v>
      </c>
      <c r="B208" s="13" t="s">
        <v>229</v>
      </c>
      <c r="C208" s="3"/>
      <c r="D208" s="4" t="s">
        <v>281</v>
      </c>
      <c r="E208" s="4" t="s">
        <v>338</v>
      </c>
      <c r="I208" s="4" t="s">
        <v>285</v>
      </c>
      <c r="J208" s="3"/>
      <c r="K208" s="3"/>
      <c r="L208" s="3">
        <f>Planilha1!$J208-Planilha1!$K208</f>
        <v>0</v>
      </c>
      <c r="M208" s="3"/>
      <c r="EU208" s="4" t="s">
        <v>354</v>
      </c>
      <c r="EX208" s="4" t="s">
        <v>398</v>
      </c>
      <c r="HM208" s="4"/>
    </row>
    <row r="209" spans="1:225" ht="75" x14ac:dyDescent="0.25">
      <c r="A209" s="19" t="s">
        <v>733</v>
      </c>
      <c r="B209" s="13" t="s">
        <v>229</v>
      </c>
      <c r="C209" s="3"/>
      <c r="D209" s="4" t="s">
        <v>230</v>
      </c>
      <c r="E209" s="4"/>
      <c r="F209" s="4" t="s">
        <v>231</v>
      </c>
      <c r="G209" s="4" t="s">
        <v>301</v>
      </c>
      <c r="I209" s="4" t="s">
        <v>734</v>
      </c>
      <c r="J209" s="3"/>
      <c r="K209" s="3"/>
      <c r="L209" s="3">
        <f>Planilha1!$J209-Planilha1!$K209</f>
        <v>0</v>
      </c>
      <c r="M209" s="3"/>
      <c r="N209" s="4" t="s">
        <v>235</v>
      </c>
      <c r="AR209" s="4" t="s">
        <v>319</v>
      </c>
      <c r="GL209" s="4" t="s">
        <v>735</v>
      </c>
      <c r="GR209" s="4" t="s">
        <v>736</v>
      </c>
      <c r="HM209" s="4"/>
    </row>
    <row r="210" spans="1:225" ht="30" x14ac:dyDescent="0.25">
      <c r="A210" s="19" t="s">
        <v>737</v>
      </c>
      <c r="B210" s="13" t="s">
        <v>229</v>
      </c>
      <c r="C210" s="3"/>
      <c r="D210" s="4" t="s">
        <v>230</v>
      </c>
      <c r="E210" s="4"/>
      <c r="F210" s="4" t="s">
        <v>300</v>
      </c>
      <c r="G210" s="4" t="s">
        <v>301</v>
      </c>
      <c r="I210" s="4" t="s">
        <v>293</v>
      </c>
      <c r="J210" s="3"/>
      <c r="K210" s="3"/>
      <c r="L210" s="3">
        <f>Planilha1!$J210-Planilha1!$K210</f>
        <v>0</v>
      </c>
      <c r="M210" s="3"/>
      <c r="N210" s="4" t="s">
        <v>287</v>
      </c>
      <c r="AR210" s="4" t="s">
        <v>480</v>
      </c>
      <c r="FN210" s="4" t="s">
        <v>516</v>
      </c>
      <c r="HM210" s="4"/>
      <c r="HQ210" s="4" t="s">
        <v>350</v>
      </c>
    </row>
    <row r="211" spans="1:225" ht="30" x14ac:dyDescent="0.25">
      <c r="A211" s="19" t="s">
        <v>738</v>
      </c>
      <c r="B211" s="13" t="s">
        <v>229</v>
      </c>
      <c r="C211" s="3"/>
      <c r="D211" s="4" t="s">
        <v>281</v>
      </c>
      <c r="E211" s="4" t="s">
        <v>282</v>
      </c>
      <c r="I211" s="4" t="s">
        <v>646</v>
      </c>
      <c r="J211" s="3"/>
      <c r="K211" s="3"/>
      <c r="L211" s="3">
        <f>Planilha1!$J211-Planilha1!$K211</f>
        <v>0</v>
      </c>
      <c r="M211" s="3"/>
      <c r="N211" s="4" t="s">
        <v>368</v>
      </c>
      <c r="O211" s="4" t="s">
        <v>739</v>
      </c>
      <c r="ET211" s="4" t="s">
        <v>309</v>
      </c>
      <c r="HM211" s="4"/>
    </row>
    <row r="212" spans="1:225" x14ac:dyDescent="0.25">
      <c r="A212" s="2" t="s">
        <v>740</v>
      </c>
      <c r="B212" s="13" t="s">
        <v>229</v>
      </c>
      <c r="C212" s="3"/>
      <c r="D212" s="4" t="s">
        <v>281</v>
      </c>
      <c r="E212" s="4" t="s">
        <v>282</v>
      </c>
      <c r="I212" s="4" t="s">
        <v>646</v>
      </c>
      <c r="J212" s="3"/>
      <c r="K212" s="3"/>
      <c r="L212" s="3">
        <f>Planilha1!$J212-Planilha1!$K212</f>
        <v>0</v>
      </c>
      <c r="M212" s="3"/>
      <c r="R212" s="4" t="s">
        <v>235</v>
      </c>
      <c r="HM212" s="4"/>
    </row>
    <row r="213" spans="1:225" x14ac:dyDescent="0.25">
      <c r="A213" s="19" t="s">
        <v>741</v>
      </c>
      <c r="B213" s="13" t="s">
        <v>229</v>
      </c>
      <c r="C213" s="3"/>
      <c r="D213" s="4" t="s">
        <v>281</v>
      </c>
      <c r="E213" s="4" t="s">
        <v>282</v>
      </c>
      <c r="I213" s="4" t="s">
        <v>406</v>
      </c>
      <c r="J213" s="3"/>
      <c r="K213" s="3"/>
      <c r="L213" s="3">
        <f>Planilha1!$J213-Planilha1!$K213</f>
        <v>0</v>
      </c>
      <c r="M213" s="3"/>
      <c r="FW213" s="4" t="s">
        <v>235</v>
      </c>
      <c r="HM213" s="4"/>
    </row>
    <row r="214" spans="1:225" ht="30" x14ac:dyDescent="0.25">
      <c r="A214" s="19" t="s">
        <v>742</v>
      </c>
      <c r="B214" s="13" t="s">
        <v>229</v>
      </c>
      <c r="C214" s="3"/>
      <c r="D214" s="4" t="s">
        <v>281</v>
      </c>
      <c r="E214" s="4" t="s">
        <v>282</v>
      </c>
      <c r="I214" s="4" t="s">
        <v>400</v>
      </c>
      <c r="J214" s="3"/>
      <c r="K214" s="3"/>
      <c r="L214" s="3">
        <f>Planilha1!$J214-Planilha1!$K214</f>
        <v>0</v>
      </c>
      <c r="M214" s="3"/>
      <c r="GM214" s="4" t="s">
        <v>235</v>
      </c>
      <c r="HM214" s="4"/>
    </row>
    <row r="215" spans="1:225" ht="60" x14ac:dyDescent="0.25">
      <c r="A215" s="19" t="s">
        <v>743</v>
      </c>
      <c r="B215" s="13" t="s">
        <v>229</v>
      </c>
      <c r="C215" s="3"/>
      <c r="D215" s="4" t="s">
        <v>281</v>
      </c>
      <c r="E215" s="4" t="s">
        <v>282</v>
      </c>
      <c r="I215" s="4" t="s">
        <v>646</v>
      </c>
      <c r="J215" s="3"/>
      <c r="K215" s="3"/>
      <c r="L215" s="3">
        <f>Planilha1!$J215-Planilha1!$K215</f>
        <v>0</v>
      </c>
      <c r="M215" s="3"/>
      <c r="N215" s="4" t="s">
        <v>290</v>
      </c>
      <c r="O215" s="4" t="s">
        <v>744</v>
      </c>
      <c r="BU215" s="4" t="s">
        <v>745</v>
      </c>
      <c r="EO215" s="4" t="s">
        <v>309</v>
      </c>
      <c r="ET215" s="4" t="s">
        <v>309</v>
      </c>
      <c r="HM215" s="4"/>
    </row>
    <row r="216" spans="1:225" x14ac:dyDescent="0.25">
      <c r="A216" s="2" t="s">
        <v>746</v>
      </c>
      <c r="B216" s="13" t="s">
        <v>229</v>
      </c>
      <c r="C216" s="3"/>
      <c r="D216" s="4" t="s">
        <v>281</v>
      </c>
      <c r="E216" s="4" t="s">
        <v>282</v>
      </c>
      <c r="I216" s="4" t="s">
        <v>646</v>
      </c>
      <c r="J216" s="3"/>
      <c r="K216" s="3"/>
      <c r="L216" s="3">
        <f>Planilha1!$J216-Planilha1!$K216</f>
        <v>0</v>
      </c>
      <c r="M216" s="3"/>
      <c r="R216" s="4" t="s">
        <v>235</v>
      </c>
      <c r="HM216" s="4"/>
    </row>
    <row r="217" spans="1:225" ht="30" x14ac:dyDescent="0.25">
      <c r="A217" s="19" t="s">
        <v>747</v>
      </c>
      <c r="B217" s="13" t="s">
        <v>229</v>
      </c>
      <c r="C217" s="3"/>
      <c r="D217" s="4" t="s">
        <v>281</v>
      </c>
      <c r="E217" s="4" t="s">
        <v>282</v>
      </c>
      <c r="I217" s="4" t="s">
        <v>332</v>
      </c>
      <c r="J217" s="3"/>
      <c r="K217" s="3"/>
      <c r="L217" s="3">
        <f>Planilha1!$J217-Planilha1!$K217</f>
        <v>0</v>
      </c>
      <c r="M217" s="3"/>
      <c r="GX217" s="4" t="s">
        <v>235</v>
      </c>
      <c r="HM217" s="4"/>
    </row>
    <row r="218" spans="1:225" ht="75" x14ac:dyDescent="0.25">
      <c r="A218" s="19" t="s">
        <v>748</v>
      </c>
      <c r="B218" s="13" t="s">
        <v>229</v>
      </c>
      <c r="C218" s="3"/>
      <c r="D218" s="4" t="s">
        <v>230</v>
      </c>
      <c r="E218" s="4"/>
      <c r="F218" s="4" t="s">
        <v>231</v>
      </c>
      <c r="G218" s="4" t="s">
        <v>749</v>
      </c>
      <c r="I218" s="4" t="s">
        <v>293</v>
      </c>
      <c r="J218" s="3"/>
      <c r="K218" s="3"/>
      <c r="L218" s="3">
        <f>Planilha1!$J218-Planilha1!$K218</f>
        <v>0</v>
      </c>
      <c r="M218" s="3"/>
      <c r="N218" s="4" t="s">
        <v>385</v>
      </c>
      <c r="O218" s="4" t="s">
        <v>638</v>
      </c>
      <c r="AR218" s="4" t="s">
        <v>263</v>
      </c>
      <c r="BR218" s="4" t="s">
        <v>750</v>
      </c>
      <c r="CZ218" s="4" t="s">
        <v>751</v>
      </c>
      <c r="DJ218" s="4" t="s">
        <v>752</v>
      </c>
      <c r="EJ218" s="4" t="s">
        <v>420</v>
      </c>
      <c r="FO218" s="4" t="s">
        <v>492</v>
      </c>
      <c r="HC218" s="4" t="s">
        <v>753</v>
      </c>
      <c r="HM218" s="4"/>
    </row>
    <row r="219" spans="1:225" x14ac:dyDescent="0.25">
      <c r="A219" s="19" t="s">
        <v>754</v>
      </c>
      <c r="B219" s="13" t="s">
        <v>229</v>
      </c>
      <c r="C219" s="3"/>
      <c r="D219" s="4" t="s">
        <v>230</v>
      </c>
      <c r="E219" s="4"/>
      <c r="F219" s="4" t="s">
        <v>231</v>
      </c>
      <c r="G219" s="4" t="s">
        <v>301</v>
      </c>
      <c r="I219" s="4" t="s">
        <v>293</v>
      </c>
      <c r="J219" s="3"/>
      <c r="K219" s="3"/>
      <c r="L219" s="3">
        <f>Planilha1!$J219-Planilha1!$K219</f>
        <v>0</v>
      </c>
      <c r="M219" s="3"/>
      <c r="Q219" s="4" t="s">
        <v>287</v>
      </c>
      <c r="AR219" s="4" t="s">
        <v>480</v>
      </c>
      <c r="FN219" s="4" t="s">
        <v>516</v>
      </c>
      <c r="HM219" s="4"/>
    </row>
    <row r="220" spans="1:225" x14ac:dyDescent="0.25">
      <c r="A220" s="19" t="s">
        <v>755</v>
      </c>
      <c r="B220" s="13" t="s">
        <v>229</v>
      </c>
      <c r="C220" s="3"/>
      <c r="D220" s="4" t="s">
        <v>230</v>
      </c>
      <c r="E220" s="4"/>
      <c r="F220" s="4" t="s">
        <v>231</v>
      </c>
      <c r="G220" s="4" t="s">
        <v>301</v>
      </c>
      <c r="I220" s="4" t="s">
        <v>293</v>
      </c>
      <c r="J220" s="3"/>
      <c r="K220" s="3"/>
      <c r="L220" s="3">
        <f>Planilha1!$J220-Planilha1!$K220</f>
        <v>0</v>
      </c>
      <c r="M220" s="3"/>
      <c r="DJ220" s="4" t="s">
        <v>327</v>
      </c>
      <c r="FN220" s="4" t="s">
        <v>516</v>
      </c>
      <c r="HM220" s="4"/>
    </row>
    <row r="221" spans="1:225" ht="75" x14ac:dyDescent="0.25">
      <c r="A221" s="19" t="s">
        <v>756</v>
      </c>
      <c r="B221" s="13" t="s">
        <v>229</v>
      </c>
      <c r="C221" s="3"/>
      <c r="D221" s="4" t="s">
        <v>230</v>
      </c>
      <c r="E221" s="4"/>
      <c r="F221" s="4" t="s">
        <v>231</v>
      </c>
      <c r="G221" s="4" t="s">
        <v>301</v>
      </c>
      <c r="I221" s="4" t="s">
        <v>293</v>
      </c>
      <c r="J221" s="3"/>
      <c r="K221" s="3"/>
      <c r="L221" s="3">
        <f>Planilha1!$J221-Planilha1!$K221</f>
        <v>0</v>
      </c>
      <c r="M221" s="3"/>
      <c r="N221" s="4" t="s">
        <v>235</v>
      </c>
      <c r="T221" s="4" t="s">
        <v>757</v>
      </c>
      <c r="AR221" s="4" t="s">
        <v>480</v>
      </c>
      <c r="CO221" s="4" t="s">
        <v>758</v>
      </c>
      <c r="FN221" s="4" t="s">
        <v>516</v>
      </c>
      <c r="HM221" s="4"/>
    </row>
    <row r="222" spans="1:225" x14ac:dyDescent="0.25">
      <c r="A222" s="19" t="s">
        <v>759</v>
      </c>
      <c r="B222" s="13" t="s">
        <v>229</v>
      </c>
      <c r="C222" s="3"/>
      <c r="D222" s="4" t="s">
        <v>230</v>
      </c>
      <c r="E222" s="4"/>
      <c r="G222" s="4">
        <v>40</v>
      </c>
      <c r="I222" s="4" t="s">
        <v>293</v>
      </c>
      <c r="J222" s="3"/>
      <c r="K222" s="3"/>
      <c r="L222" s="3">
        <f>Planilha1!$J222-Planilha1!$K222</f>
        <v>0</v>
      </c>
      <c r="M222" s="3"/>
      <c r="GE222" s="4" t="s">
        <v>235</v>
      </c>
      <c r="HM222" s="4"/>
      <c r="HQ222" s="4" t="s">
        <v>413</v>
      </c>
    </row>
    <row r="223" spans="1:225" x14ac:dyDescent="0.25">
      <c r="A223" s="19" t="s">
        <v>760</v>
      </c>
      <c r="B223" s="13" t="s">
        <v>229</v>
      </c>
      <c r="C223" s="3"/>
      <c r="D223" s="4" t="s">
        <v>230</v>
      </c>
      <c r="E223" s="4"/>
      <c r="F223" s="4" t="s">
        <v>231</v>
      </c>
      <c r="G223" s="4" t="s">
        <v>301</v>
      </c>
      <c r="I223" s="4" t="s">
        <v>233</v>
      </c>
      <c r="J223" s="3"/>
      <c r="K223" s="3"/>
      <c r="L223" s="3">
        <f>Planilha1!$J223-Planilha1!$K223</f>
        <v>0</v>
      </c>
      <c r="M223" s="3"/>
      <c r="O223" s="4" t="s">
        <v>235</v>
      </c>
      <c r="AR223" s="4" t="s">
        <v>319</v>
      </c>
      <c r="FN223" s="4" t="s">
        <v>516</v>
      </c>
      <c r="HM223" s="4"/>
    </row>
    <row r="224" spans="1:225" x14ac:dyDescent="0.25">
      <c r="A224" s="19" t="s">
        <v>761</v>
      </c>
      <c r="B224" s="13" t="s">
        <v>229</v>
      </c>
      <c r="C224" s="3"/>
      <c r="D224" s="4" t="s">
        <v>230</v>
      </c>
      <c r="E224" s="4"/>
      <c r="G224" s="4">
        <v>30</v>
      </c>
      <c r="I224" s="4" t="s">
        <v>293</v>
      </c>
      <c r="J224" s="3"/>
      <c r="K224" s="3"/>
      <c r="L224" s="3">
        <f>Planilha1!$J224-Planilha1!$K224</f>
        <v>0</v>
      </c>
      <c r="M224" s="3"/>
      <c r="GE224" s="4" t="s">
        <v>235</v>
      </c>
      <c r="HM224" s="4"/>
    </row>
    <row r="225" spans="1:231" x14ac:dyDescent="0.25">
      <c r="A225" s="19" t="s">
        <v>762</v>
      </c>
      <c r="B225" s="13" t="s">
        <v>229</v>
      </c>
      <c r="C225" s="3"/>
      <c r="D225" s="4" t="s">
        <v>230</v>
      </c>
      <c r="E225" s="4"/>
      <c r="F225" s="4" t="s">
        <v>231</v>
      </c>
      <c r="G225" s="4" t="s">
        <v>301</v>
      </c>
      <c r="I225" s="4" t="s">
        <v>293</v>
      </c>
      <c r="J225" s="3"/>
      <c r="K225" s="3"/>
      <c r="L225" s="3">
        <f>Planilha1!$J225-Planilha1!$K225</f>
        <v>0</v>
      </c>
      <c r="M225" s="3"/>
      <c r="N225" s="4" t="s">
        <v>235</v>
      </c>
      <c r="Z225" s="4" t="s">
        <v>763</v>
      </c>
      <c r="AR225" s="4" t="s">
        <v>319</v>
      </c>
      <c r="FN225" s="4" t="s">
        <v>516</v>
      </c>
      <c r="HM225" s="4"/>
    </row>
    <row r="226" spans="1:231" s="23" customFormat="1" x14ac:dyDescent="0.25">
      <c r="A226" s="25" t="s">
        <v>764</v>
      </c>
      <c r="B226" s="13" t="s">
        <v>229</v>
      </c>
      <c r="L226" s="23">
        <f>Planilha1!$J226-Planilha1!$K226</f>
        <v>0</v>
      </c>
      <c r="HR226" s="32"/>
      <c r="HS226" s="32"/>
      <c r="HW226" s="44"/>
    </row>
    <row r="227" spans="1:231" ht="30" x14ac:dyDescent="0.25">
      <c r="A227" s="19" t="s">
        <v>765</v>
      </c>
      <c r="B227" s="13" t="s">
        <v>229</v>
      </c>
      <c r="C227" s="3"/>
      <c r="D227" s="4" t="s">
        <v>230</v>
      </c>
      <c r="E227" s="4"/>
      <c r="F227" s="4" t="s">
        <v>231</v>
      </c>
      <c r="G227" s="4">
        <v>30</v>
      </c>
      <c r="I227" s="4" t="s">
        <v>293</v>
      </c>
      <c r="J227" s="3"/>
      <c r="K227" s="3"/>
      <c r="L227" s="3">
        <f>Planilha1!$J227-Planilha1!$K227</f>
        <v>0</v>
      </c>
      <c r="M227" s="3"/>
      <c r="N227" s="4" t="s">
        <v>235</v>
      </c>
      <c r="AR227" s="4" t="s">
        <v>319</v>
      </c>
      <c r="BS227" s="4" t="s">
        <v>350</v>
      </c>
      <c r="CZ227" s="4" t="s">
        <v>254</v>
      </c>
      <c r="GT227" s="4" t="s">
        <v>494</v>
      </c>
      <c r="HK227" s="4" t="s">
        <v>328</v>
      </c>
      <c r="HM227" s="4"/>
    </row>
    <row r="228" spans="1:231" ht="45" x14ac:dyDescent="0.25">
      <c r="A228" s="19" t="s">
        <v>766</v>
      </c>
      <c r="B228" s="13" t="s">
        <v>229</v>
      </c>
      <c r="C228" s="3"/>
      <c r="D228" s="4" t="s">
        <v>230</v>
      </c>
      <c r="E228" s="4"/>
      <c r="F228" s="4" t="s">
        <v>767</v>
      </c>
      <c r="G228" s="4">
        <v>30</v>
      </c>
      <c r="I228" s="4" t="s">
        <v>233</v>
      </c>
      <c r="J228" s="3"/>
      <c r="K228" s="3"/>
      <c r="L228" s="3">
        <f>Planilha1!$J228-Planilha1!$K228</f>
        <v>0</v>
      </c>
      <c r="M228" s="3"/>
      <c r="GQ228" s="4" t="s">
        <v>235</v>
      </c>
      <c r="HM228" s="4"/>
    </row>
    <row r="229" spans="1:231" ht="30" x14ac:dyDescent="0.25">
      <c r="A229" s="19" t="s">
        <v>768</v>
      </c>
      <c r="B229" s="13" t="s">
        <v>229</v>
      </c>
      <c r="C229" s="3"/>
      <c r="D229" s="4" t="s">
        <v>230</v>
      </c>
      <c r="E229" s="4"/>
      <c r="F229" s="4" t="s">
        <v>231</v>
      </c>
      <c r="G229" s="4" t="s">
        <v>301</v>
      </c>
      <c r="I229" s="4" t="s">
        <v>293</v>
      </c>
      <c r="J229" s="3"/>
      <c r="K229" s="3"/>
      <c r="L229" s="3">
        <f>Planilha1!$J229-Planilha1!$K229</f>
        <v>0</v>
      </c>
      <c r="M229" s="3"/>
      <c r="AR229" s="4" t="s">
        <v>471</v>
      </c>
      <c r="BQ229" s="4" t="s">
        <v>350</v>
      </c>
      <c r="FN229" s="4" t="s">
        <v>769</v>
      </c>
      <c r="HM229" s="4"/>
    </row>
    <row r="230" spans="1:231" ht="45" x14ac:dyDescent="0.25">
      <c r="A230" s="19" t="s">
        <v>770</v>
      </c>
      <c r="B230" s="13" t="s">
        <v>229</v>
      </c>
      <c r="C230" s="3"/>
      <c r="D230" s="4" t="s">
        <v>230</v>
      </c>
      <c r="E230" s="4"/>
      <c r="F230" s="4" t="s">
        <v>231</v>
      </c>
      <c r="G230" s="4">
        <v>30</v>
      </c>
      <c r="I230" s="4" t="s">
        <v>293</v>
      </c>
      <c r="J230" s="3"/>
      <c r="K230" s="3"/>
      <c r="L230" s="3">
        <f>Planilha1!$J230-Planilha1!$K230</f>
        <v>0</v>
      </c>
      <c r="M230" s="3"/>
      <c r="AR230" s="4" t="s">
        <v>471</v>
      </c>
      <c r="CN230" s="4" t="s">
        <v>350</v>
      </c>
      <c r="EF230" s="4" t="s">
        <v>249</v>
      </c>
      <c r="EL230" s="4" t="s">
        <v>419</v>
      </c>
      <c r="FF230" s="4" t="s">
        <v>771</v>
      </c>
      <c r="GW230" s="4" t="s">
        <v>298</v>
      </c>
      <c r="HM230" s="4"/>
    </row>
    <row r="231" spans="1:231" ht="30" x14ac:dyDescent="0.25">
      <c r="A231" s="19" t="s">
        <v>772</v>
      </c>
      <c r="B231" s="13" t="s">
        <v>229</v>
      </c>
      <c r="C231" s="3"/>
      <c r="D231" s="4" t="s">
        <v>230</v>
      </c>
      <c r="E231" s="4"/>
      <c r="F231" s="4" t="s">
        <v>231</v>
      </c>
      <c r="G231" s="4" t="s">
        <v>301</v>
      </c>
      <c r="I231" s="4" t="s">
        <v>293</v>
      </c>
      <c r="J231" s="3"/>
      <c r="K231" s="3"/>
      <c r="L231" s="3">
        <f>Planilha1!$J231-Planilha1!$K231</f>
        <v>0</v>
      </c>
      <c r="M231" s="3"/>
      <c r="O231" s="4" t="s">
        <v>235</v>
      </c>
      <c r="AR231" s="4" t="s">
        <v>319</v>
      </c>
      <c r="DJ231" s="4" t="s">
        <v>320</v>
      </c>
      <c r="GQ231" s="4" t="s">
        <v>350</v>
      </c>
      <c r="HK231" s="4" t="s">
        <v>328</v>
      </c>
      <c r="HM231" s="4"/>
    </row>
    <row r="232" spans="1:231" ht="30" x14ac:dyDescent="0.25">
      <c r="A232" s="19" t="s">
        <v>773</v>
      </c>
      <c r="B232" s="13" t="s">
        <v>229</v>
      </c>
      <c r="C232" s="3"/>
      <c r="D232" s="4" t="s">
        <v>230</v>
      </c>
      <c r="E232" s="4"/>
      <c r="F232" s="4" t="s">
        <v>231</v>
      </c>
      <c r="G232" s="4">
        <v>20</v>
      </c>
      <c r="I232" s="4" t="s">
        <v>293</v>
      </c>
      <c r="J232" s="3"/>
      <c r="K232" s="3"/>
      <c r="L232" s="3">
        <f>Planilha1!$J232-Planilha1!$K232</f>
        <v>0</v>
      </c>
      <c r="M232" s="3"/>
      <c r="N232" s="4" t="s">
        <v>235</v>
      </c>
      <c r="O232" s="4" t="s">
        <v>757</v>
      </c>
      <c r="AR232" s="4" t="s">
        <v>480</v>
      </c>
      <c r="DJ232" s="4" t="s">
        <v>458</v>
      </c>
      <c r="HC232" s="4" t="s">
        <v>753</v>
      </c>
      <c r="HM232" s="4" t="s">
        <v>421</v>
      </c>
    </row>
    <row r="233" spans="1:231" ht="45" x14ac:dyDescent="0.25">
      <c r="A233" s="19" t="s">
        <v>774</v>
      </c>
      <c r="B233" s="13" t="s">
        <v>229</v>
      </c>
      <c r="C233" s="3"/>
      <c r="D233" s="4" t="s">
        <v>230</v>
      </c>
      <c r="E233" s="4"/>
      <c r="F233" s="4" t="s">
        <v>300</v>
      </c>
      <c r="G233" s="4" t="s">
        <v>301</v>
      </c>
      <c r="I233" s="4" t="s">
        <v>293</v>
      </c>
      <c r="J233" s="3"/>
      <c r="K233" s="3"/>
      <c r="L233" s="3">
        <f>Planilha1!$J233-Planilha1!$K233</f>
        <v>0</v>
      </c>
      <c r="M233" s="3"/>
      <c r="N233" s="4" t="s">
        <v>775</v>
      </c>
      <c r="AR233" s="4" t="s">
        <v>776</v>
      </c>
      <c r="GJ233" s="4" t="s">
        <v>472</v>
      </c>
      <c r="HM233" s="4"/>
    </row>
    <row r="234" spans="1:231" ht="30" x14ac:dyDescent="0.25">
      <c r="A234" s="19" t="s">
        <v>777</v>
      </c>
      <c r="B234" s="13" t="s">
        <v>229</v>
      </c>
      <c r="C234" s="3"/>
      <c r="D234" s="4" t="s">
        <v>230</v>
      </c>
      <c r="E234" s="4"/>
      <c r="F234" s="4" t="s">
        <v>300</v>
      </c>
      <c r="G234" s="4" t="s">
        <v>301</v>
      </c>
      <c r="I234" s="4" t="s">
        <v>293</v>
      </c>
      <c r="J234" s="3"/>
      <c r="K234" s="3"/>
      <c r="L234" s="3">
        <f>Planilha1!$J234-Planilha1!$K234</f>
        <v>0</v>
      </c>
      <c r="M234" s="3"/>
      <c r="R234" s="4" t="s">
        <v>464</v>
      </c>
      <c r="HI234" s="4" t="s">
        <v>778</v>
      </c>
      <c r="HM234" s="4"/>
    </row>
    <row r="235" spans="1:231" ht="45" x14ac:dyDescent="0.25">
      <c r="A235" s="19" t="s">
        <v>779</v>
      </c>
      <c r="B235" s="13" t="s">
        <v>229</v>
      </c>
      <c r="C235" s="3"/>
      <c r="D235" s="4" t="s">
        <v>230</v>
      </c>
      <c r="E235" s="4"/>
      <c r="F235" s="4" t="s">
        <v>780</v>
      </c>
      <c r="G235" s="4" t="s">
        <v>301</v>
      </c>
      <c r="I235" s="4" t="s">
        <v>239</v>
      </c>
      <c r="J235" s="3"/>
      <c r="K235" s="3"/>
      <c r="L235" s="3">
        <f>Planilha1!$J235-Planilha1!$K235</f>
        <v>0</v>
      </c>
      <c r="M235" s="3"/>
      <c r="N235" s="4" t="s">
        <v>290</v>
      </c>
      <c r="O235" s="4" t="s">
        <v>781</v>
      </c>
      <c r="X235" s="4" t="s">
        <v>487</v>
      </c>
      <c r="AR235" s="4" t="s">
        <v>782</v>
      </c>
      <c r="BS235" s="4" t="s">
        <v>419</v>
      </c>
      <c r="CB235" s="4" t="s">
        <v>783</v>
      </c>
      <c r="CM235" s="4" t="s">
        <v>420</v>
      </c>
      <c r="DF235" s="4" t="s">
        <v>419</v>
      </c>
      <c r="DJ235" s="4" t="s">
        <v>784</v>
      </c>
      <c r="EI235" s="4" t="s">
        <v>785</v>
      </c>
      <c r="FP235" s="4" t="s">
        <v>786</v>
      </c>
      <c r="HJ235" s="4" t="s">
        <v>787</v>
      </c>
      <c r="HM235" s="4"/>
    </row>
    <row r="236" spans="1:231" ht="75" x14ac:dyDescent="0.25">
      <c r="A236" s="19" t="s">
        <v>788</v>
      </c>
      <c r="B236" s="13" t="s">
        <v>229</v>
      </c>
      <c r="C236" s="3"/>
      <c r="D236" s="4" t="s">
        <v>230</v>
      </c>
      <c r="E236" s="4"/>
      <c r="F236" s="4" t="s">
        <v>300</v>
      </c>
      <c r="G236" s="4" t="s">
        <v>301</v>
      </c>
      <c r="I236" s="4" t="s">
        <v>239</v>
      </c>
      <c r="J236" s="3"/>
      <c r="K236" s="3"/>
      <c r="L236" s="3">
        <f>Planilha1!$J236-Planilha1!$K236</f>
        <v>0</v>
      </c>
      <c r="M236" s="3"/>
      <c r="N236" s="4" t="s">
        <v>290</v>
      </c>
      <c r="AM236" s="4" t="s">
        <v>616</v>
      </c>
      <c r="AR236" s="4" t="s">
        <v>617</v>
      </c>
      <c r="FB236" s="4" t="s">
        <v>789</v>
      </c>
      <c r="HJ236" s="4" t="s">
        <v>790</v>
      </c>
      <c r="HM236" s="4"/>
    </row>
    <row r="237" spans="1:231" ht="45" x14ac:dyDescent="0.25">
      <c r="A237" s="2" t="s">
        <v>791</v>
      </c>
      <c r="B237" s="13" t="s">
        <v>229</v>
      </c>
      <c r="C237" s="3"/>
      <c r="D237" s="4" t="s">
        <v>281</v>
      </c>
      <c r="E237" s="4" t="s">
        <v>282</v>
      </c>
      <c r="I237" s="4" t="s">
        <v>406</v>
      </c>
      <c r="J237" s="3"/>
      <c r="K237" s="3"/>
      <c r="L237" s="3">
        <f>Planilha1!$J237-Planilha1!$K237</f>
        <v>0</v>
      </c>
      <c r="M237" s="3"/>
      <c r="CO237" s="4" t="s">
        <v>712</v>
      </c>
      <c r="HM237" s="4"/>
    </row>
    <row r="238" spans="1:231" ht="45" x14ac:dyDescent="0.25">
      <c r="A238" s="2" t="s">
        <v>792</v>
      </c>
      <c r="B238" s="13" t="s">
        <v>229</v>
      </c>
      <c r="C238" s="3"/>
      <c r="D238" s="4" t="s">
        <v>281</v>
      </c>
      <c r="E238" s="4" t="s">
        <v>282</v>
      </c>
      <c r="I238" s="4" t="s">
        <v>406</v>
      </c>
      <c r="J238" s="3"/>
      <c r="K238" s="3"/>
      <c r="L238" s="3">
        <f>Planilha1!$J238-Planilha1!$K238</f>
        <v>0</v>
      </c>
      <c r="M238" s="3"/>
      <c r="CO238" s="4" t="s">
        <v>712</v>
      </c>
      <c r="HM238" s="4"/>
    </row>
    <row r="239" spans="1:231" x14ac:dyDescent="0.25">
      <c r="A239" s="19" t="s">
        <v>793</v>
      </c>
      <c r="B239" s="13" t="s">
        <v>229</v>
      </c>
      <c r="C239" s="3"/>
      <c r="D239" s="4" t="s">
        <v>281</v>
      </c>
      <c r="E239" s="4" t="s">
        <v>282</v>
      </c>
      <c r="I239" s="4" t="s">
        <v>332</v>
      </c>
      <c r="J239" s="3"/>
      <c r="K239" s="3"/>
      <c r="L239" s="3">
        <f>Planilha1!$J239-Planilha1!$K239</f>
        <v>0</v>
      </c>
      <c r="M239" s="3"/>
      <c r="EI239" s="4" t="s">
        <v>235</v>
      </c>
      <c r="GM239" s="4" t="s">
        <v>350</v>
      </c>
      <c r="HM239" s="4"/>
    </row>
    <row r="240" spans="1:231" ht="30" x14ac:dyDescent="0.25">
      <c r="A240" s="2" t="s">
        <v>794</v>
      </c>
      <c r="B240" s="13" t="s">
        <v>229</v>
      </c>
      <c r="C240" s="3"/>
      <c r="D240" s="4" t="s">
        <v>281</v>
      </c>
      <c r="E240" s="4" t="s">
        <v>282</v>
      </c>
      <c r="I240" s="4" t="s">
        <v>400</v>
      </c>
      <c r="J240" s="3"/>
      <c r="K240" s="3"/>
      <c r="L240" s="3">
        <f>Planilha1!$J240-Planilha1!$K240</f>
        <v>0</v>
      </c>
      <c r="M240" s="3"/>
      <c r="EI240" s="4" t="s">
        <v>795</v>
      </c>
      <c r="EV240" s="4" t="s">
        <v>796</v>
      </c>
      <c r="HM240" s="4"/>
    </row>
    <row r="241" spans="1:224" ht="30" x14ac:dyDescent="0.25">
      <c r="A241" s="19" t="s">
        <v>797</v>
      </c>
      <c r="B241" s="13" t="s">
        <v>229</v>
      </c>
      <c r="C241" s="3"/>
      <c r="D241" s="4" t="s">
        <v>230</v>
      </c>
      <c r="E241" s="4"/>
      <c r="F241" s="4" t="s">
        <v>292</v>
      </c>
      <c r="G241" s="4" t="s">
        <v>301</v>
      </c>
      <c r="I241" s="4" t="s">
        <v>293</v>
      </c>
      <c r="J241" s="3"/>
      <c r="K241" s="3"/>
      <c r="L241" s="3">
        <f>Planilha1!$J241-Planilha1!$K241</f>
        <v>0</v>
      </c>
      <c r="M241" s="3"/>
      <c r="DJ241" s="4" t="s">
        <v>798</v>
      </c>
      <c r="EF241" s="4" t="s">
        <v>413</v>
      </c>
      <c r="HG241" s="4" t="s">
        <v>799</v>
      </c>
      <c r="HM241" s="4"/>
    </row>
    <row r="242" spans="1:224" ht="45" x14ac:dyDescent="0.25">
      <c r="A242" s="19" t="s">
        <v>800</v>
      </c>
      <c r="B242" s="13" t="s">
        <v>229</v>
      </c>
      <c r="C242" s="3"/>
      <c r="D242" s="4" t="s">
        <v>230</v>
      </c>
      <c r="E242" s="4"/>
      <c r="F242" s="4" t="s">
        <v>300</v>
      </c>
      <c r="G242" s="4" t="s">
        <v>301</v>
      </c>
      <c r="I242" s="4" t="s">
        <v>293</v>
      </c>
      <c r="J242" s="3"/>
      <c r="K242" s="3"/>
      <c r="L242" s="3">
        <f>Planilha1!$J242-Planilha1!$K242</f>
        <v>0</v>
      </c>
      <c r="M242" s="3"/>
      <c r="N242" s="4" t="s">
        <v>681</v>
      </c>
      <c r="AR242" s="4" t="s">
        <v>500</v>
      </c>
      <c r="CH242" s="4" t="s">
        <v>801</v>
      </c>
      <c r="CK242" s="4" t="s">
        <v>802</v>
      </c>
      <c r="GJ242" s="4" t="s">
        <v>472</v>
      </c>
      <c r="HM242" s="4"/>
    </row>
    <row r="243" spans="1:224" ht="30" x14ac:dyDescent="0.25">
      <c r="A243" s="19" t="s">
        <v>803</v>
      </c>
      <c r="B243" s="13" t="s">
        <v>229</v>
      </c>
      <c r="C243" s="3"/>
      <c r="D243" s="4" t="s">
        <v>230</v>
      </c>
      <c r="E243" s="4"/>
      <c r="F243" s="4" t="s">
        <v>300</v>
      </c>
      <c r="G243" s="4" t="s">
        <v>301</v>
      </c>
      <c r="I243" s="4" t="s">
        <v>804</v>
      </c>
      <c r="J243" s="3"/>
      <c r="K243" s="3"/>
      <c r="L243" s="3">
        <f>Planilha1!$J243-Planilha1!$K243</f>
        <v>0</v>
      </c>
      <c r="M243" s="3"/>
      <c r="N243" s="4" t="s">
        <v>287</v>
      </c>
      <c r="AR243" s="4" t="s">
        <v>480</v>
      </c>
      <c r="HM243" s="4"/>
    </row>
    <row r="244" spans="1:224" ht="45" x14ac:dyDescent="0.25">
      <c r="A244" s="19" t="s">
        <v>805</v>
      </c>
      <c r="B244" s="13" t="s">
        <v>229</v>
      </c>
      <c r="C244" s="3"/>
      <c r="D244" s="4" t="s">
        <v>230</v>
      </c>
      <c r="E244" s="4"/>
      <c r="F244" s="4" t="s">
        <v>292</v>
      </c>
      <c r="G244" s="4">
        <v>20</v>
      </c>
      <c r="I244" s="4" t="s">
        <v>293</v>
      </c>
      <c r="J244" s="3"/>
      <c r="K244" s="3"/>
      <c r="L244" s="3">
        <f>Planilha1!$J244-Planilha1!$K244</f>
        <v>0</v>
      </c>
      <c r="M244" s="3"/>
      <c r="DJ244" s="4" t="s">
        <v>806</v>
      </c>
      <c r="HK244" s="4" t="s">
        <v>807</v>
      </c>
      <c r="HM244" s="4"/>
      <c r="HP244" s="4" t="s">
        <v>421</v>
      </c>
    </row>
    <row r="245" spans="1:224" ht="30" x14ac:dyDescent="0.25">
      <c r="A245" s="19" t="s">
        <v>808</v>
      </c>
      <c r="B245" s="13" t="s">
        <v>229</v>
      </c>
      <c r="C245" s="3"/>
      <c r="D245" s="4" t="s">
        <v>230</v>
      </c>
      <c r="E245" s="4"/>
      <c r="F245" s="4" t="s">
        <v>300</v>
      </c>
      <c r="G245" s="4" t="s">
        <v>301</v>
      </c>
      <c r="I245" s="4" t="s">
        <v>293</v>
      </c>
      <c r="J245" s="3"/>
      <c r="K245" s="3"/>
      <c r="L245" s="3">
        <f>Planilha1!$J245-Planilha1!$K245</f>
        <v>0</v>
      </c>
      <c r="M245" s="3"/>
      <c r="O245" s="4" t="s">
        <v>235</v>
      </c>
      <c r="AR245" s="4" t="s">
        <v>319</v>
      </c>
      <c r="FN245" s="4" t="s">
        <v>809</v>
      </c>
      <c r="HM245" s="4"/>
    </row>
    <row r="246" spans="1:224" ht="30" x14ac:dyDescent="0.25">
      <c r="A246" s="19" t="s">
        <v>810</v>
      </c>
      <c r="B246" s="13" t="s">
        <v>229</v>
      </c>
      <c r="C246" s="3"/>
      <c r="D246" s="4" t="s">
        <v>230</v>
      </c>
      <c r="E246" s="4"/>
      <c r="F246" s="4" t="s">
        <v>811</v>
      </c>
      <c r="G246" s="4">
        <v>40</v>
      </c>
      <c r="I246" s="4" t="s">
        <v>482</v>
      </c>
      <c r="J246" s="3"/>
      <c r="K246" s="3"/>
      <c r="L246" s="3">
        <f>Planilha1!$J246-Planilha1!$K246</f>
        <v>0</v>
      </c>
      <c r="M246" s="3"/>
      <c r="GQ246" s="4" t="s">
        <v>287</v>
      </c>
      <c r="HM246" s="4"/>
    </row>
    <row r="247" spans="1:224" ht="30" x14ac:dyDescent="0.25">
      <c r="A247" s="19" t="s">
        <v>812</v>
      </c>
      <c r="B247" s="13" t="s">
        <v>229</v>
      </c>
      <c r="C247" s="3"/>
      <c r="D247" s="4" t="s">
        <v>230</v>
      </c>
      <c r="E247" s="4"/>
      <c r="F247" s="4" t="s">
        <v>231</v>
      </c>
      <c r="G247" s="4" t="s">
        <v>301</v>
      </c>
      <c r="I247" s="4" t="s">
        <v>233</v>
      </c>
      <c r="J247" s="3"/>
      <c r="K247" s="3"/>
      <c r="L247" s="3">
        <f>Planilha1!$J247-Planilha1!$K247</f>
        <v>0</v>
      </c>
      <c r="M247" s="3"/>
      <c r="N247" s="4" t="s">
        <v>813</v>
      </c>
      <c r="O247" s="4" t="s">
        <v>814</v>
      </c>
      <c r="Y247" s="4" t="s">
        <v>815</v>
      </c>
      <c r="AR247" s="4" t="s">
        <v>816</v>
      </c>
      <c r="HM247" s="4"/>
    </row>
    <row r="248" spans="1:224" x14ac:dyDescent="0.25">
      <c r="A248" s="19" t="s">
        <v>817</v>
      </c>
      <c r="B248" s="13" t="s">
        <v>229</v>
      </c>
      <c r="C248" s="3"/>
      <c r="D248" s="4" t="s">
        <v>230</v>
      </c>
      <c r="E248" s="4"/>
      <c r="F248" s="4" t="s">
        <v>231</v>
      </c>
      <c r="G248" s="4" t="s">
        <v>301</v>
      </c>
      <c r="I248" s="4" t="s">
        <v>233</v>
      </c>
      <c r="J248" s="3"/>
      <c r="K248" s="3"/>
      <c r="L248" s="3">
        <f>Planilha1!$J248-Planilha1!$K248</f>
        <v>0</v>
      </c>
      <c r="M248" s="3"/>
      <c r="DH248" s="4" t="s">
        <v>643</v>
      </c>
      <c r="DK248" s="4" t="s">
        <v>235</v>
      </c>
      <c r="HM248" s="4"/>
    </row>
    <row r="249" spans="1:224" x14ac:dyDescent="0.25">
      <c r="A249" s="19" t="s">
        <v>818</v>
      </c>
      <c r="B249" s="13" t="s">
        <v>229</v>
      </c>
      <c r="C249" s="3"/>
      <c r="D249" s="4" t="s">
        <v>230</v>
      </c>
      <c r="E249" s="4"/>
      <c r="F249" s="4" t="s">
        <v>231</v>
      </c>
      <c r="G249" s="4" t="s">
        <v>301</v>
      </c>
      <c r="I249" s="4" t="s">
        <v>233</v>
      </c>
      <c r="J249" s="3"/>
      <c r="K249" s="3"/>
      <c r="L249" s="3">
        <f>Planilha1!$J249-Planilha1!$K249</f>
        <v>0</v>
      </c>
      <c r="M249" s="3"/>
      <c r="BS249" s="4" t="s">
        <v>235</v>
      </c>
      <c r="HM249" s="4"/>
    </row>
    <row r="250" spans="1:224" x14ac:dyDescent="0.25">
      <c r="A250" s="19" t="s">
        <v>819</v>
      </c>
      <c r="B250" s="13" t="s">
        <v>229</v>
      </c>
      <c r="C250" s="3"/>
      <c r="D250" s="4" t="s">
        <v>230</v>
      </c>
      <c r="E250" s="4"/>
      <c r="F250" s="4" t="s">
        <v>231</v>
      </c>
      <c r="G250" s="4" t="s">
        <v>301</v>
      </c>
      <c r="I250" s="4" t="s">
        <v>233</v>
      </c>
      <c r="J250" s="3"/>
      <c r="K250" s="3"/>
      <c r="L250" s="3">
        <f>Planilha1!$J250-Planilha1!$K250</f>
        <v>0</v>
      </c>
      <c r="M250" s="3"/>
      <c r="DJ250" s="4" t="s">
        <v>471</v>
      </c>
      <c r="HM250" s="4"/>
    </row>
    <row r="251" spans="1:224" x14ac:dyDescent="0.25">
      <c r="A251" s="19" t="s">
        <v>820</v>
      </c>
      <c r="B251" s="13" t="s">
        <v>229</v>
      </c>
      <c r="C251" s="3"/>
      <c r="D251" s="4" t="s">
        <v>230</v>
      </c>
      <c r="E251" s="4"/>
      <c r="F251" s="4" t="s">
        <v>231</v>
      </c>
      <c r="G251" s="4" t="s">
        <v>301</v>
      </c>
      <c r="I251" s="4" t="s">
        <v>233</v>
      </c>
      <c r="J251" s="3"/>
      <c r="K251" s="3"/>
      <c r="L251" s="3">
        <f>Planilha1!$J251-Planilha1!$K251</f>
        <v>0</v>
      </c>
      <c r="M251" s="3"/>
      <c r="DJ251" s="4" t="s">
        <v>327</v>
      </c>
      <c r="HM251" s="4"/>
    </row>
    <row r="252" spans="1:224" x14ac:dyDescent="0.25">
      <c r="A252" s="19" t="s">
        <v>821</v>
      </c>
      <c r="B252" s="13" t="s">
        <v>229</v>
      </c>
      <c r="C252" s="3"/>
      <c r="D252" s="4" t="s">
        <v>230</v>
      </c>
      <c r="E252" s="4"/>
      <c r="F252" s="4" t="s">
        <v>231</v>
      </c>
      <c r="G252" s="4" t="s">
        <v>301</v>
      </c>
      <c r="I252" s="4" t="s">
        <v>233</v>
      </c>
      <c r="J252" s="3"/>
      <c r="K252" s="3"/>
      <c r="L252" s="3">
        <f>Planilha1!$J252-Planilha1!$K252</f>
        <v>0</v>
      </c>
      <c r="M252" s="3"/>
      <c r="AR252" s="4" t="s">
        <v>471</v>
      </c>
      <c r="HM252" s="4"/>
    </row>
    <row r="253" spans="1:224" x14ac:dyDescent="0.25">
      <c r="A253" s="19" t="s">
        <v>822</v>
      </c>
      <c r="B253" s="13" t="s">
        <v>229</v>
      </c>
      <c r="C253" s="3"/>
      <c r="D253" s="4" t="s">
        <v>230</v>
      </c>
      <c r="E253" s="4"/>
      <c r="F253" s="4" t="s">
        <v>231</v>
      </c>
      <c r="G253" s="4" t="s">
        <v>301</v>
      </c>
      <c r="I253" s="4" t="s">
        <v>233</v>
      </c>
      <c r="J253" s="3"/>
      <c r="K253" s="3"/>
      <c r="L253" s="3">
        <f>Planilha1!$J253-Planilha1!$K253</f>
        <v>0</v>
      </c>
      <c r="M253" s="3"/>
      <c r="DJ253" s="4" t="s">
        <v>327</v>
      </c>
      <c r="HM253" s="4"/>
    </row>
    <row r="254" spans="1:224" x14ac:dyDescent="0.25">
      <c r="A254" s="19" t="s">
        <v>823</v>
      </c>
      <c r="B254" s="13" t="s">
        <v>229</v>
      </c>
      <c r="C254" s="3"/>
      <c r="D254" s="4" t="s">
        <v>230</v>
      </c>
      <c r="E254" s="4"/>
      <c r="F254" s="4" t="s">
        <v>231</v>
      </c>
      <c r="G254" s="4" t="s">
        <v>301</v>
      </c>
      <c r="I254" s="4" t="s">
        <v>233</v>
      </c>
      <c r="J254" s="3"/>
      <c r="K254" s="3"/>
      <c r="L254" s="3">
        <f>Planilha1!$J254-Planilha1!$K254</f>
        <v>0</v>
      </c>
      <c r="M254" s="3"/>
      <c r="AB254" s="4" t="s">
        <v>235</v>
      </c>
      <c r="AR254" s="4" t="s">
        <v>319</v>
      </c>
      <c r="BS254" s="4" t="s">
        <v>350</v>
      </c>
      <c r="DJ254" s="4" t="s">
        <v>320</v>
      </c>
      <c r="HM254" s="4"/>
    </row>
    <row r="255" spans="1:224" x14ac:dyDescent="0.25">
      <c r="A255" s="19" t="s">
        <v>824</v>
      </c>
      <c r="B255" s="13" t="s">
        <v>229</v>
      </c>
      <c r="C255" s="3"/>
      <c r="D255" s="4" t="s">
        <v>230</v>
      </c>
      <c r="E255" s="4"/>
      <c r="F255" s="4" t="s">
        <v>231</v>
      </c>
      <c r="G255" s="4" t="s">
        <v>301</v>
      </c>
      <c r="I255" s="4" t="s">
        <v>233</v>
      </c>
      <c r="J255" s="3"/>
      <c r="K255" s="3"/>
      <c r="L255" s="3">
        <f>Planilha1!$J255-Planilha1!$K255</f>
        <v>0</v>
      </c>
      <c r="M255" s="3"/>
      <c r="AR255" s="4" t="s">
        <v>471</v>
      </c>
      <c r="HM255" s="4"/>
    </row>
    <row r="256" spans="1:224" x14ac:dyDescent="0.25">
      <c r="A256" s="19" t="s">
        <v>825</v>
      </c>
      <c r="B256" s="13" t="s">
        <v>229</v>
      </c>
      <c r="C256" s="3"/>
      <c r="D256" s="4" t="s">
        <v>230</v>
      </c>
      <c r="E256" s="4"/>
      <c r="F256" s="4" t="s">
        <v>231</v>
      </c>
      <c r="G256" s="4" t="s">
        <v>301</v>
      </c>
      <c r="I256" s="4" t="s">
        <v>233</v>
      </c>
      <c r="J256" s="3"/>
      <c r="K256" s="3"/>
      <c r="L256" s="3">
        <f>Planilha1!$J256-Planilha1!$K256</f>
        <v>0</v>
      </c>
      <c r="M256" s="3"/>
      <c r="DH256" s="4" t="s">
        <v>309</v>
      </c>
      <c r="HM256" s="4"/>
    </row>
    <row r="257" spans="1:225" x14ac:dyDescent="0.25">
      <c r="A257" s="19" t="s">
        <v>826</v>
      </c>
      <c r="B257" s="13" t="s">
        <v>229</v>
      </c>
      <c r="C257" s="3"/>
      <c r="D257" s="4" t="s">
        <v>230</v>
      </c>
      <c r="E257" s="4"/>
      <c r="F257" s="4" t="s">
        <v>231</v>
      </c>
      <c r="G257" s="4" t="s">
        <v>301</v>
      </c>
      <c r="I257" s="4" t="s">
        <v>233</v>
      </c>
      <c r="J257" s="3"/>
      <c r="K257" s="3"/>
      <c r="L257" s="3">
        <f>Planilha1!$J257-Planilha1!$K257</f>
        <v>0</v>
      </c>
      <c r="M257" s="3"/>
      <c r="T257" s="4" t="s">
        <v>498</v>
      </c>
      <c r="AR257" s="4" t="s">
        <v>520</v>
      </c>
      <c r="CM257" s="4" t="s">
        <v>420</v>
      </c>
      <c r="HM257" s="4"/>
    </row>
    <row r="258" spans="1:225" x14ac:dyDescent="0.25">
      <c r="A258" s="19" t="s">
        <v>827</v>
      </c>
      <c r="B258" s="13" t="s">
        <v>229</v>
      </c>
      <c r="C258" s="3"/>
      <c r="D258" s="4" t="s">
        <v>230</v>
      </c>
      <c r="E258" s="4"/>
      <c r="F258" s="4" t="s">
        <v>231</v>
      </c>
      <c r="G258" s="4" t="s">
        <v>301</v>
      </c>
      <c r="I258" s="4" t="s">
        <v>233</v>
      </c>
      <c r="J258" s="3"/>
      <c r="K258" s="3"/>
      <c r="L258" s="3">
        <f>Planilha1!$J258-Planilha1!$K258</f>
        <v>0</v>
      </c>
      <c r="M258" s="3"/>
      <c r="DJ258" s="4" t="s">
        <v>471</v>
      </c>
      <c r="HM258" s="4"/>
    </row>
    <row r="259" spans="1:225" x14ac:dyDescent="0.25">
      <c r="A259" s="19" t="s">
        <v>828</v>
      </c>
      <c r="B259" s="13" t="s">
        <v>229</v>
      </c>
      <c r="C259" s="3"/>
      <c r="D259" s="4" t="s">
        <v>230</v>
      </c>
      <c r="E259" s="4"/>
      <c r="F259" s="4" t="s">
        <v>231</v>
      </c>
      <c r="G259" s="4" t="s">
        <v>301</v>
      </c>
      <c r="I259" s="4" t="s">
        <v>233</v>
      </c>
      <c r="J259" s="3"/>
      <c r="K259" s="3"/>
      <c r="L259" s="3">
        <f>Planilha1!$J259-Planilha1!$K259</f>
        <v>0</v>
      </c>
      <c r="M259" s="3"/>
      <c r="AB259" s="4" t="s">
        <v>235</v>
      </c>
      <c r="AR259" s="4" t="s">
        <v>319</v>
      </c>
      <c r="BS259" s="4" t="s">
        <v>350</v>
      </c>
      <c r="HM259" s="4"/>
    </row>
    <row r="260" spans="1:225" x14ac:dyDescent="0.25">
      <c r="A260" s="19" t="s">
        <v>829</v>
      </c>
      <c r="B260" s="13" t="s">
        <v>229</v>
      </c>
      <c r="C260" s="3"/>
      <c r="D260" s="4" t="s">
        <v>230</v>
      </c>
      <c r="E260" s="4"/>
      <c r="F260" s="4" t="s">
        <v>231</v>
      </c>
      <c r="G260" s="4" t="s">
        <v>301</v>
      </c>
      <c r="I260" s="4" t="s">
        <v>233</v>
      </c>
      <c r="J260" s="3"/>
      <c r="K260" s="3"/>
      <c r="L260" s="3">
        <f>Planilha1!$J260-Planilha1!$K260</f>
        <v>0</v>
      </c>
      <c r="M260" s="3"/>
      <c r="DJ260" s="4" t="s">
        <v>327</v>
      </c>
      <c r="HM260" s="4"/>
    </row>
    <row r="261" spans="1:225" ht="45" x14ac:dyDescent="0.25">
      <c r="A261" s="19" t="s">
        <v>830</v>
      </c>
      <c r="B261" s="13" t="s">
        <v>229</v>
      </c>
      <c r="C261" s="3"/>
      <c r="D261" s="4" t="s">
        <v>230</v>
      </c>
      <c r="E261" s="4"/>
      <c r="F261" s="4" t="s">
        <v>231</v>
      </c>
      <c r="G261" s="4">
        <v>25</v>
      </c>
      <c r="I261" s="4" t="s">
        <v>293</v>
      </c>
      <c r="J261" s="3"/>
      <c r="K261" s="3"/>
      <c r="L261" s="3">
        <f>Planilha1!$J261-Planilha1!$K261</f>
        <v>0</v>
      </c>
      <c r="M261" s="3"/>
      <c r="N261" s="4" t="s">
        <v>287</v>
      </c>
      <c r="AO261" s="4" t="s">
        <v>333</v>
      </c>
      <c r="AR261" s="4" t="s">
        <v>478</v>
      </c>
      <c r="BD261" s="4" t="s">
        <v>831</v>
      </c>
      <c r="HF261" s="4" t="s">
        <v>832</v>
      </c>
      <c r="HM261" s="4"/>
    </row>
    <row r="262" spans="1:225" x14ac:dyDescent="0.25">
      <c r="A262" s="19" t="s">
        <v>833</v>
      </c>
      <c r="B262" s="13" t="s">
        <v>229</v>
      </c>
      <c r="C262" s="3"/>
      <c r="D262" s="4" t="s">
        <v>230</v>
      </c>
      <c r="E262" s="4"/>
      <c r="F262" s="4" t="s">
        <v>292</v>
      </c>
      <c r="G262" s="4">
        <v>40</v>
      </c>
      <c r="I262" s="4" t="s">
        <v>482</v>
      </c>
      <c r="J262" s="3"/>
      <c r="K262" s="3"/>
      <c r="L262" s="3">
        <f>Planilha1!$J262-Planilha1!$K262</f>
        <v>0</v>
      </c>
      <c r="M262" s="3"/>
      <c r="GQ262" s="4" t="s">
        <v>287</v>
      </c>
      <c r="HM262" s="4"/>
    </row>
    <row r="263" spans="1:225" ht="90" x14ac:dyDescent="0.25">
      <c r="A263" s="19" t="s">
        <v>834</v>
      </c>
      <c r="B263" s="13" t="s">
        <v>229</v>
      </c>
      <c r="C263" s="3"/>
      <c r="D263" s="4" t="s">
        <v>230</v>
      </c>
      <c r="E263" s="4"/>
      <c r="F263" s="4" t="s">
        <v>300</v>
      </c>
      <c r="G263" s="4" t="s">
        <v>301</v>
      </c>
      <c r="I263" s="4" t="s">
        <v>293</v>
      </c>
      <c r="J263" s="3"/>
      <c r="K263" s="3"/>
      <c r="L263" s="3">
        <f>Planilha1!$J263-Planilha1!$K263</f>
        <v>0</v>
      </c>
      <c r="M263" s="3"/>
      <c r="N263" s="4" t="s">
        <v>835</v>
      </c>
      <c r="O263" s="4" t="s">
        <v>836</v>
      </c>
      <c r="T263" s="4" t="s">
        <v>837</v>
      </c>
      <c r="AG263" s="4" t="s">
        <v>838</v>
      </c>
      <c r="AJ263" s="4" t="s">
        <v>839</v>
      </c>
      <c r="AR263" s="4" t="s">
        <v>840</v>
      </c>
      <c r="CC263" s="4" t="s">
        <v>841</v>
      </c>
      <c r="FC263" s="4" t="s">
        <v>420</v>
      </c>
      <c r="HD263" s="4" t="s">
        <v>476</v>
      </c>
      <c r="HM263" s="4"/>
    </row>
    <row r="264" spans="1:225" ht="30" x14ac:dyDescent="0.25">
      <c r="A264" s="19" t="s">
        <v>842</v>
      </c>
      <c r="B264" s="13" t="s">
        <v>229</v>
      </c>
      <c r="C264" s="3"/>
      <c r="D264" s="4" t="s">
        <v>230</v>
      </c>
      <c r="E264" s="4"/>
      <c r="F264" s="4" t="s">
        <v>300</v>
      </c>
      <c r="G264" s="4" t="s">
        <v>301</v>
      </c>
      <c r="I264" s="4" t="s">
        <v>469</v>
      </c>
      <c r="J264" s="3"/>
      <c r="K264" s="3"/>
      <c r="L264" s="3">
        <f>Planilha1!$J264-Planilha1!$K264</f>
        <v>0</v>
      </c>
      <c r="M264" s="3"/>
      <c r="R264" s="4" t="s">
        <v>464</v>
      </c>
      <c r="HM264" s="4"/>
    </row>
    <row r="265" spans="1:225" ht="30" x14ac:dyDescent="0.25">
      <c r="A265" s="19" t="s">
        <v>843</v>
      </c>
      <c r="B265" s="13" t="s">
        <v>229</v>
      </c>
      <c r="C265" s="3"/>
      <c r="D265" s="4" t="s">
        <v>230</v>
      </c>
      <c r="E265" s="4"/>
      <c r="F265" s="4" t="s">
        <v>300</v>
      </c>
      <c r="G265" s="4" t="s">
        <v>301</v>
      </c>
      <c r="I265" s="4" t="s">
        <v>293</v>
      </c>
      <c r="J265" s="3"/>
      <c r="K265" s="3"/>
      <c r="L265" s="3">
        <f>Planilha1!$J265-Planilha1!$K265</f>
        <v>0</v>
      </c>
      <c r="M265" s="3"/>
      <c r="N265" s="4" t="s">
        <v>368</v>
      </c>
      <c r="AR265" s="4" t="s">
        <v>478</v>
      </c>
      <c r="HD265" s="4" t="s">
        <v>476</v>
      </c>
      <c r="HM265" s="4"/>
    </row>
    <row r="266" spans="1:225" x14ac:dyDescent="0.25">
      <c r="A266" s="2" t="s">
        <v>844</v>
      </c>
      <c r="B266" s="13" t="s">
        <v>229</v>
      </c>
      <c r="C266" s="3"/>
      <c r="D266" s="4" t="s">
        <v>281</v>
      </c>
      <c r="E266" s="4" t="s">
        <v>331</v>
      </c>
      <c r="I266" s="4" t="s">
        <v>646</v>
      </c>
      <c r="J266" s="3"/>
      <c r="K266" s="3"/>
      <c r="L266" s="3">
        <f>Planilha1!$J266-Planilha1!$K266</f>
        <v>0</v>
      </c>
      <c r="M266" s="3"/>
      <c r="N266" s="4" t="s">
        <v>235</v>
      </c>
      <c r="ET266" s="4" t="s">
        <v>398</v>
      </c>
      <c r="HM266" s="4"/>
    </row>
    <row r="267" spans="1:225" ht="30" x14ac:dyDescent="0.25">
      <c r="A267" s="19" t="s">
        <v>845</v>
      </c>
      <c r="B267" s="13" t="s">
        <v>229</v>
      </c>
      <c r="C267" s="3"/>
      <c r="D267" s="4" t="s">
        <v>230</v>
      </c>
      <c r="E267" s="4"/>
      <c r="F267" s="4" t="s">
        <v>231</v>
      </c>
      <c r="G267" s="4" t="s">
        <v>301</v>
      </c>
      <c r="I267" s="4" t="s">
        <v>293</v>
      </c>
      <c r="J267" s="3"/>
      <c r="K267" s="3"/>
      <c r="L267" s="3">
        <f>Planilha1!$J267-Planilha1!$K267</f>
        <v>0</v>
      </c>
      <c r="M267" s="3"/>
      <c r="DJ267" s="4" t="s">
        <v>327</v>
      </c>
      <c r="HK267" s="4" t="s">
        <v>328</v>
      </c>
      <c r="HM267" s="4"/>
    </row>
    <row r="268" spans="1:225" ht="75" x14ac:dyDescent="0.25">
      <c r="A268" s="19" t="s">
        <v>846</v>
      </c>
      <c r="B268" s="13" t="s">
        <v>229</v>
      </c>
      <c r="C268" s="3"/>
      <c r="D268" s="4" t="s">
        <v>230</v>
      </c>
      <c r="E268" s="4"/>
      <c r="F268" s="4" t="s">
        <v>231</v>
      </c>
      <c r="G268" s="4">
        <v>20</v>
      </c>
      <c r="I268" s="4" t="s">
        <v>293</v>
      </c>
      <c r="J268" s="3"/>
      <c r="K268" s="3"/>
      <c r="L268" s="3">
        <f>Planilha1!$J268-Planilha1!$K268</f>
        <v>0</v>
      </c>
      <c r="M268" s="3"/>
      <c r="N268" s="4" t="s">
        <v>235</v>
      </c>
      <c r="AR268" s="4" t="s">
        <v>847</v>
      </c>
      <c r="DJ268" s="4" t="s">
        <v>320</v>
      </c>
      <c r="DX268" s="4" t="s">
        <v>848</v>
      </c>
      <c r="EA268" s="4" t="s">
        <v>849</v>
      </c>
      <c r="FU268" s="4" t="s">
        <v>850</v>
      </c>
      <c r="HK268" s="4" t="s">
        <v>328</v>
      </c>
      <c r="HM268" s="4"/>
      <c r="HQ268" s="4" t="s">
        <v>350</v>
      </c>
    </row>
    <row r="269" spans="1:225" ht="30" x14ac:dyDescent="0.25">
      <c r="A269" s="19" t="s">
        <v>851</v>
      </c>
      <c r="B269" s="13" t="s">
        <v>229</v>
      </c>
      <c r="C269" s="3"/>
      <c r="D269" s="4" t="s">
        <v>230</v>
      </c>
      <c r="E269" s="4"/>
      <c r="F269" s="4" t="s">
        <v>231</v>
      </c>
      <c r="G269" s="4" t="s">
        <v>301</v>
      </c>
      <c r="I269" s="4" t="s">
        <v>293</v>
      </c>
      <c r="J269" s="3"/>
      <c r="K269" s="3"/>
      <c r="L269" s="3">
        <f>Planilha1!$J269-Planilha1!$K269</f>
        <v>0</v>
      </c>
      <c r="M269" s="3"/>
      <c r="N269" s="4" t="s">
        <v>518</v>
      </c>
      <c r="V269" s="4" t="s">
        <v>511</v>
      </c>
      <c r="AR269" s="4" t="s">
        <v>852</v>
      </c>
      <c r="BS269" s="4" t="s">
        <v>350</v>
      </c>
      <c r="CZ269" s="4" t="s">
        <v>801</v>
      </c>
      <c r="DD269" s="4" t="s">
        <v>853</v>
      </c>
      <c r="HK269" s="4" t="s">
        <v>328</v>
      </c>
      <c r="HM269" s="4"/>
    </row>
    <row r="270" spans="1:225" ht="30" x14ac:dyDescent="0.25">
      <c r="A270" s="19" t="s">
        <v>854</v>
      </c>
      <c r="B270" s="13" t="s">
        <v>229</v>
      </c>
      <c r="C270" s="3"/>
      <c r="D270" s="4" t="s">
        <v>230</v>
      </c>
      <c r="E270" s="4"/>
      <c r="F270" s="4" t="s">
        <v>300</v>
      </c>
      <c r="G270" s="4" t="s">
        <v>301</v>
      </c>
      <c r="I270" s="4" t="s">
        <v>293</v>
      </c>
      <c r="J270" s="3"/>
      <c r="K270" s="3"/>
      <c r="L270" s="3">
        <f>Planilha1!$J270-Planilha1!$K270</f>
        <v>0</v>
      </c>
      <c r="M270" s="3"/>
      <c r="N270" s="4" t="s">
        <v>368</v>
      </c>
      <c r="O270" s="4" t="s">
        <v>616</v>
      </c>
      <c r="Y270" s="4" t="s">
        <v>519</v>
      </c>
      <c r="AG270" s="4" t="s">
        <v>781</v>
      </c>
      <c r="AJ270" s="4" t="s">
        <v>487</v>
      </c>
      <c r="AR270" s="4" t="s">
        <v>488</v>
      </c>
      <c r="CG270" s="4" t="s">
        <v>855</v>
      </c>
      <c r="CZ270" s="4" t="s">
        <v>856</v>
      </c>
      <c r="HD270" s="4" t="s">
        <v>857</v>
      </c>
      <c r="HM270" s="4"/>
    </row>
    <row r="271" spans="1:225" ht="30" x14ac:dyDescent="0.25">
      <c r="A271" s="19" t="s">
        <v>858</v>
      </c>
      <c r="B271" s="13" t="s">
        <v>229</v>
      </c>
      <c r="C271" s="3"/>
      <c r="D271" s="4" t="s">
        <v>230</v>
      </c>
      <c r="E271" s="4"/>
      <c r="F271" s="4" t="s">
        <v>300</v>
      </c>
      <c r="G271" s="4" t="s">
        <v>301</v>
      </c>
      <c r="I271" s="4" t="s">
        <v>859</v>
      </c>
      <c r="J271" s="3"/>
      <c r="K271" s="3"/>
      <c r="L271" s="3">
        <f>Planilha1!$J271-Planilha1!$K271</f>
        <v>0</v>
      </c>
      <c r="M271" s="3"/>
      <c r="R271" s="4" t="s">
        <v>385</v>
      </c>
      <c r="HM271" s="4"/>
    </row>
    <row r="272" spans="1:225" x14ac:dyDescent="0.25">
      <c r="A272" s="19" t="s">
        <v>860</v>
      </c>
      <c r="B272" s="13" t="s">
        <v>229</v>
      </c>
      <c r="C272" s="3"/>
      <c r="D272" s="4" t="s">
        <v>281</v>
      </c>
      <c r="E272" s="4" t="s">
        <v>331</v>
      </c>
      <c r="I272" s="4" t="s">
        <v>332</v>
      </c>
      <c r="J272" s="3"/>
      <c r="K272" s="3"/>
      <c r="L272" s="3">
        <f>Planilha1!$J272-Planilha1!$K272</f>
        <v>0</v>
      </c>
      <c r="M272" s="3"/>
      <c r="EX272" s="4" t="s">
        <v>235</v>
      </c>
      <c r="HM272" s="4"/>
    </row>
    <row r="273" spans="1:221" ht="75" x14ac:dyDescent="0.25">
      <c r="A273" s="19" t="s">
        <v>861</v>
      </c>
      <c r="B273" s="13" t="s">
        <v>229</v>
      </c>
      <c r="C273" s="3"/>
      <c r="D273" s="4" t="s">
        <v>230</v>
      </c>
      <c r="E273" s="4"/>
      <c r="G273" s="4">
        <v>25</v>
      </c>
      <c r="I273" s="4" t="s">
        <v>293</v>
      </c>
      <c r="J273" s="3"/>
      <c r="K273" s="3"/>
      <c r="L273" s="3">
        <f>Planilha1!$J273-Planilha1!$K273</f>
        <v>0</v>
      </c>
      <c r="M273" s="3"/>
      <c r="N273" s="4" t="s">
        <v>518</v>
      </c>
      <c r="O273" s="4" t="s">
        <v>519</v>
      </c>
      <c r="AR273" s="4" t="s">
        <v>862</v>
      </c>
      <c r="BB273" s="4" t="s">
        <v>831</v>
      </c>
      <c r="CO273" s="4" t="s">
        <v>758</v>
      </c>
      <c r="DM273" s="4" t="s">
        <v>500</v>
      </c>
      <c r="DX273" s="4" t="s">
        <v>863</v>
      </c>
      <c r="EA273" s="4" t="s">
        <v>864</v>
      </c>
      <c r="EG273" s="4" t="s">
        <v>420</v>
      </c>
      <c r="EY273" s="4" t="s">
        <v>413</v>
      </c>
      <c r="FE273" s="4" t="s">
        <v>865</v>
      </c>
      <c r="GQ273" s="4" t="s">
        <v>413</v>
      </c>
      <c r="GV273" s="4" t="s">
        <v>472</v>
      </c>
      <c r="HM273" s="4"/>
    </row>
    <row r="274" spans="1:221" ht="30" x14ac:dyDescent="0.25">
      <c r="A274" s="19" t="s">
        <v>866</v>
      </c>
      <c r="B274" s="13" t="s">
        <v>229</v>
      </c>
      <c r="C274" s="3"/>
      <c r="D274" s="4" t="s">
        <v>230</v>
      </c>
      <c r="E274" s="4"/>
      <c r="F274" s="4" t="s">
        <v>300</v>
      </c>
      <c r="G274" s="4" t="s">
        <v>301</v>
      </c>
      <c r="I274" s="4" t="s">
        <v>293</v>
      </c>
      <c r="J274" s="3"/>
      <c r="K274" s="3"/>
      <c r="L274" s="3">
        <f>Planilha1!$J274-Planilha1!$K274</f>
        <v>0</v>
      </c>
      <c r="M274" s="3"/>
      <c r="N274" s="4" t="s">
        <v>681</v>
      </c>
      <c r="T274" s="4" t="s">
        <v>523</v>
      </c>
      <c r="AR274" s="4" t="s">
        <v>867</v>
      </c>
      <c r="CM274" s="4" t="s">
        <v>350</v>
      </c>
      <c r="FN274" s="4" t="s">
        <v>516</v>
      </c>
      <c r="HM274" s="4"/>
    </row>
    <row r="275" spans="1:221" ht="30" x14ac:dyDescent="0.25">
      <c r="A275" s="19" t="s">
        <v>868</v>
      </c>
      <c r="B275" s="13" t="s">
        <v>229</v>
      </c>
      <c r="C275" s="3"/>
      <c r="D275" s="4" t="s">
        <v>230</v>
      </c>
      <c r="E275" s="4"/>
      <c r="F275" s="4" t="s">
        <v>300</v>
      </c>
      <c r="G275" s="4" t="s">
        <v>301</v>
      </c>
      <c r="I275" s="4" t="s">
        <v>293</v>
      </c>
      <c r="J275" s="3"/>
      <c r="K275" s="3"/>
      <c r="L275" s="3">
        <f>Planilha1!$J275-Planilha1!$K275</f>
        <v>0</v>
      </c>
      <c r="M275" s="3"/>
      <c r="N275" s="4" t="s">
        <v>287</v>
      </c>
      <c r="AO275" s="4" t="s">
        <v>513</v>
      </c>
      <c r="AR275" s="4" t="s">
        <v>514</v>
      </c>
      <c r="FN275" s="4" t="s">
        <v>516</v>
      </c>
      <c r="HM275" s="4"/>
    </row>
    <row r="276" spans="1:221" ht="30" x14ac:dyDescent="0.25">
      <c r="A276" s="19" t="s">
        <v>869</v>
      </c>
      <c r="B276" s="13" t="s">
        <v>229</v>
      </c>
      <c r="C276" s="3"/>
      <c r="D276" s="4" t="s">
        <v>281</v>
      </c>
      <c r="E276" s="4" t="s">
        <v>870</v>
      </c>
      <c r="I276" s="4" t="s">
        <v>397</v>
      </c>
      <c r="J276" s="3"/>
      <c r="K276" s="3"/>
      <c r="L276" s="3">
        <f>Planilha1!$J276-Planilha1!$K276</f>
        <v>0</v>
      </c>
      <c r="M276" s="3"/>
      <c r="FG276" s="4" t="s">
        <v>235</v>
      </c>
      <c r="HM276" s="4"/>
    </row>
    <row r="277" spans="1:221" x14ac:dyDescent="0.25">
      <c r="A277" s="19" t="s">
        <v>871</v>
      </c>
      <c r="B277" s="13" t="s">
        <v>229</v>
      </c>
      <c r="C277" s="3"/>
      <c r="D277" s="4" t="s">
        <v>230</v>
      </c>
      <c r="E277" s="4"/>
      <c r="F277" s="4" t="s">
        <v>231</v>
      </c>
      <c r="G277" s="4" t="s">
        <v>301</v>
      </c>
      <c r="I277" s="4" t="s">
        <v>293</v>
      </c>
      <c r="J277" s="3"/>
      <c r="K277" s="3"/>
      <c r="L277" s="3">
        <f>Planilha1!$J277-Planilha1!$K277</f>
        <v>0</v>
      </c>
      <c r="M277" s="3"/>
      <c r="DJ277" s="4" t="s">
        <v>872</v>
      </c>
      <c r="ER277" s="4" t="s">
        <v>249</v>
      </c>
      <c r="FM277" s="4" t="s">
        <v>873</v>
      </c>
      <c r="HM277" s="4"/>
    </row>
    <row r="278" spans="1:221" x14ac:dyDescent="0.25">
      <c r="A278" s="19" t="s">
        <v>874</v>
      </c>
      <c r="B278" s="13" t="s">
        <v>229</v>
      </c>
      <c r="C278" s="3"/>
      <c r="D278" s="4" t="s">
        <v>281</v>
      </c>
      <c r="E278" s="4" t="s">
        <v>331</v>
      </c>
      <c r="I278" s="4" t="s">
        <v>397</v>
      </c>
      <c r="J278" s="3"/>
      <c r="K278" s="3"/>
      <c r="L278" s="3">
        <f>Planilha1!$J278-Planilha1!$K278</f>
        <v>0</v>
      </c>
      <c r="M278" s="3"/>
      <c r="N278" s="4" t="s">
        <v>235</v>
      </c>
      <c r="HM278" s="4"/>
    </row>
    <row r="279" spans="1:221" ht="30" x14ac:dyDescent="0.25">
      <c r="A279" s="2" t="s">
        <v>875</v>
      </c>
      <c r="B279" s="13" t="s">
        <v>229</v>
      </c>
      <c r="C279" s="3"/>
      <c r="D279" s="4" t="s">
        <v>230</v>
      </c>
      <c r="E279" s="4"/>
      <c r="F279" s="4" t="s">
        <v>876</v>
      </c>
      <c r="G279" s="4">
        <v>20</v>
      </c>
      <c r="J279" s="3"/>
      <c r="K279" s="3"/>
      <c r="L279" s="3">
        <f>Planilha1!$J279-Planilha1!$K279</f>
        <v>0</v>
      </c>
      <c r="M279" s="3"/>
      <c r="N279" s="4" t="s">
        <v>877</v>
      </c>
      <c r="O279" s="4" t="s">
        <v>878</v>
      </c>
      <c r="AE279" s="4" t="s">
        <v>879</v>
      </c>
      <c r="AL279" s="4" t="s">
        <v>880</v>
      </c>
      <c r="BY279" s="4" t="s">
        <v>881</v>
      </c>
      <c r="HM279" s="4"/>
    </row>
    <row r="280" spans="1:221" x14ac:dyDescent="0.25">
      <c r="A280" s="2" t="s">
        <v>882</v>
      </c>
      <c r="B280" s="13" t="s">
        <v>229</v>
      </c>
      <c r="C280" s="3"/>
      <c r="D280" s="4" t="s">
        <v>230</v>
      </c>
      <c r="E280" s="4"/>
      <c r="G280" s="4">
        <v>25</v>
      </c>
      <c r="I280" s="4" t="s">
        <v>883</v>
      </c>
      <c r="J280" s="3"/>
      <c r="K280" s="3"/>
      <c r="L280" s="3">
        <f>Planilha1!$J280-Planilha1!$K280</f>
        <v>0</v>
      </c>
      <c r="M280" s="3"/>
      <c r="HM280" s="4"/>
    </row>
    <row r="281" spans="1:221" ht="30" x14ac:dyDescent="0.25">
      <c r="A281" s="19" t="s">
        <v>884</v>
      </c>
      <c r="B281" s="13" t="s">
        <v>229</v>
      </c>
      <c r="C281" s="3"/>
      <c r="D281" s="4" t="s">
        <v>230</v>
      </c>
      <c r="E281" s="4"/>
      <c r="G281" s="4" t="s">
        <v>301</v>
      </c>
      <c r="I281" s="4" t="s">
        <v>317</v>
      </c>
      <c r="J281" s="3"/>
      <c r="K281" s="3"/>
      <c r="L281" s="3">
        <f>Planilha1!$J281-Planilha1!$K281</f>
        <v>0</v>
      </c>
      <c r="M281" s="3"/>
      <c r="DX281" s="4" t="s">
        <v>235</v>
      </c>
      <c r="EA281" s="4" t="s">
        <v>885</v>
      </c>
      <c r="FE281" s="4" t="s">
        <v>682</v>
      </c>
      <c r="HM281" s="4"/>
    </row>
    <row r="282" spans="1:221" ht="30" x14ac:dyDescent="0.25">
      <c r="A282" s="19" t="s">
        <v>886</v>
      </c>
      <c r="B282" s="13" t="s">
        <v>229</v>
      </c>
      <c r="C282" s="3"/>
      <c r="D282" s="4" t="s">
        <v>230</v>
      </c>
      <c r="E282" s="4"/>
      <c r="G282" s="4">
        <v>25</v>
      </c>
      <c r="J282" s="3"/>
      <c r="K282" s="3"/>
      <c r="L282" s="3">
        <f>Planilha1!$J282-Planilha1!$K282</f>
        <v>0</v>
      </c>
      <c r="M282" s="3"/>
      <c r="AR282" s="4" t="s">
        <v>296</v>
      </c>
      <c r="BJ282" s="4" t="s">
        <v>887</v>
      </c>
      <c r="EB282" s="4" t="s">
        <v>888</v>
      </c>
      <c r="FE282" s="4" t="s">
        <v>889</v>
      </c>
      <c r="HM282" s="4"/>
    </row>
    <row r="283" spans="1:221" x14ac:dyDescent="0.25">
      <c r="A283" s="2" t="s">
        <v>890</v>
      </c>
      <c r="B283" s="13" t="s">
        <v>229</v>
      </c>
      <c r="C283" s="3"/>
      <c r="D283" s="4" t="s">
        <v>230</v>
      </c>
      <c r="E283" s="4"/>
      <c r="G283" s="4">
        <v>25</v>
      </c>
      <c r="I283" s="4" t="s">
        <v>883</v>
      </c>
      <c r="J283" s="3"/>
      <c r="K283" s="3"/>
      <c r="L283" s="3">
        <f>Planilha1!$J283-Planilha1!$K283</f>
        <v>0</v>
      </c>
      <c r="M283" s="3"/>
      <c r="HM283" s="4"/>
    </row>
    <row r="284" spans="1:221" x14ac:dyDescent="0.25">
      <c r="A284" s="2" t="s">
        <v>891</v>
      </c>
      <c r="B284" s="13" t="s">
        <v>229</v>
      </c>
      <c r="C284" s="3"/>
      <c r="D284" s="4" t="s">
        <v>230</v>
      </c>
      <c r="E284" s="4"/>
      <c r="J284" s="3"/>
      <c r="K284" s="3"/>
      <c r="L284" s="3">
        <f>Planilha1!$J284-Planilha1!$K284</f>
        <v>0</v>
      </c>
      <c r="M284" s="3"/>
      <c r="DX284" s="4" t="s">
        <v>305</v>
      </c>
      <c r="HM284" s="4"/>
    </row>
    <row r="285" spans="1:221" ht="30" x14ac:dyDescent="0.25">
      <c r="A285" s="2" t="s">
        <v>892</v>
      </c>
      <c r="B285" s="13" t="s">
        <v>229</v>
      </c>
      <c r="C285" s="3"/>
      <c r="D285" s="4" t="s">
        <v>230</v>
      </c>
      <c r="E285" s="4"/>
      <c r="G285" s="4">
        <v>25</v>
      </c>
      <c r="I285" s="4" t="s">
        <v>317</v>
      </c>
      <c r="J285" s="3"/>
      <c r="K285" s="3"/>
      <c r="L285" s="3">
        <f>Planilha1!$J285-Planilha1!$K285</f>
        <v>0</v>
      </c>
      <c r="M285" s="3"/>
      <c r="AR285" s="4" t="s">
        <v>893</v>
      </c>
      <c r="EB285" s="4" t="s">
        <v>894</v>
      </c>
      <c r="EG285" s="4" t="s">
        <v>698</v>
      </c>
      <c r="FE285" s="4" t="s">
        <v>895</v>
      </c>
      <c r="HM285" s="4"/>
    </row>
    <row r="286" spans="1:221" ht="75" x14ac:dyDescent="0.25">
      <c r="A286" s="2" t="s">
        <v>892</v>
      </c>
      <c r="B286" s="13" t="s">
        <v>229</v>
      </c>
      <c r="C286" s="3"/>
      <c r="D286" s="4" t="s">
        <v>230</v>
      </c>
      <c r="E286" s="4"/>
      <c r="G286" s="4">
        <v>25</v>
      </c>
      <c r="I286" s="4" t="s">
        <v>317</v>
      </c>
      <c r="J286" s="3"/>
      <c r="K286" s="3"/>
      <c r="L286" s="3">
        <f>Planilha1!$J286-Planilha1!$K286</f>
        <v>0</v>
      </c>
      <c r="M286" s="3"/>
      <c r="AR286" s="4" t="s">
        <v>893</v>
      </c>
      <c r="EB286" s="4" t="s">
        <v>896</v>
      </c>
      <c r="EE286" s="4" t="s">
        <v>897</v>
      </c>
      <c r="FE286" s="4" t="s">
        <v>898</v>
      </c>
      <c r="HM286" s="4"/>
    </row>
    <row r="287" spans="1:221" x14ac:dyDescent="0.25">
      <c r="A287" s="2" t="s">
        <v>899</v>
      </c>
      <c r="B287" s="13" t="s">
        <v>229</v>
      </c>
      <c r="C287" s="3"/>
      <c r="D287" s="4" t="s">
        <v>230</v>
      </c>
      <c r="E287" s="4"/>
      <c r="G287" s="4">
        <v>25</v>
      </c>
      <c r="J287" s="3"/>
      <c r="K287" s="3"/>
      <c r="L287" s="3">
        <f>Planilha1!$J287-Planilha1!$K287</f>
        <v>0</v>
      </c>
      <c r="M287" s="3"/>
      <c r="AR287" s="4" t="s">
        <v>900</v>
      </c>
      <c r="HM287" s="4"/>
    </row>
    <row r="288" spans="1:221" ht="30" x14ac:dyDescent="0.25">
      <c r="A288" s="19" t="s">
        <v>901</v>
      </c>
      <c r="B288" s="13" t="s">
        <v>229</v>
      </c>
      <c r="C288" s="3"/>
      <c r="D288" s="4" t="s">
        <v>230</v>
      </c>
      <c r="E288" s="4"/>
      <c r="G288" s="4">
        <v>25</v>
      </c>
      <c r="I288" s="4" t="s">
        <v>883</v>
      </c>
      <c r="J288" s="3"/>
      <c r="K288" s="3"/>
      <c r="L288" s="3">
        <f>Planilha1!$J288-Planilha1!$K288</f>
        <v>0</v>
      </c>
      <c r="M288" s="3"/>
      <c r="EB288" s="4" t="s">
        <v>701</v>
      </c>
      <c r="FE288" s="4" t="s">
        <v>902</v>
      </c>
      <c r="HM288" s="4"/>
    </row>
    <row r="289" spans="1:223" ht="30" x14ac:dyDescent="0.25">
      <c r="A289" s="19" t="s">
        <v>903</v>
      </c>
      <c r="B289" s="13" t="s">
        <v>229</v>
      </c>
      <c r="C289" s="3"/>
      <c r="D289" s="4" t="s">
        <v>230</v>
      </c>
      <c r="E289" s="4"/>
      <c r="G289" s="4">
        <v>25</v>
      </c>
      <c r="I289" s="4" t="s">
        <v>883</v>
      </c>
      <c r="J289" s="3"/>
      <c r="K289" s="3"/>
      <c r="L289" s="3">
        <f>Planilha1!$J289-Planilha1!$K289</f>
        <v>0</v>
      </c>
      <c r="M289" s="3"/>
      <c r="EB289" s="4" t="s">
        <v>888</v>
      </c>
      <c r="FE289" s="4" t="s">
        <v>904</v>
      </c>
      <c r="HM289" s="4"/>
    </row>
    <row r="290" spans="1:223" ht="30" x14ac:dyDescent="0.25">
      <c r="A290" s="19" t="s">
        <v>905</v>
      </c>
      <c r="B290" s="13" t="s">
        <v>229</v>
      </c>
      <c r="C290" s="3"/>
      <c r="D290" s="4" t="s">
        <v>230</v>
      </c>
      <c r="E290" s="4"/>
      <c r="G290" s="4">
        <v>25</v>
      </c>
      <c r="I290" s="4" t="s">
        <v>883</v>
      </c>
      <c r="J290" s="3"/>
      <c r="K290" s="3"/>
      <c r="L290" s="3">
        <f>Planilha1!$J290-Planilha1!$K290</f>
        <v>0</v>
      </c>
      <c r="M290" s="3"/>
      <c r="EB290" s="4" t="s">
        <v>701</v>
      </c>
      <c r="FE290" s="4" t="s">
        <v>906</v>
      </c>
      <c r="HM290" s="4"/>
    </row>
    <row r="291" spans="1:223" ht="30" x14ac:dyDescent="0.25">
      <c r="A291" s="19" t="s">
        <v>907</v>
      </c>
      <c r="B291" s="13" t="s">
        <v>229</v>
      </c>
      <c r="C291" s="3"/>
      <c r="D291" s="4" t="s">
        <v>230</v>
      </c>
      <c r="E291" s="4"/>
      <c r="G291" s="4">
        <v>25</v>
      </c>
      <c r="I291" s="4" t="s">
        <v>883</v>
      </c>
      <c r="J291" s="3"/>
      <c r="K291" s="3"/>
      <c r="L291" s="3">
        <f>Planilha1!$J291-Planilha1!$K291</f>
        <v>0</v>
      </c>
      <c r="M291" s="3"/>
      <c r="EB291" s="4" t="s">
        <v>888</v>
      </c>
      <c r="FE291" s="4" t="s">
        <v>908</v>
      </c>
      <c r="HM291" s="4"/>
    </row>
    <row r="292" spans="1:223" ht="30" x14ac:dyDescent="0.25">
      <c r="A292" s="19" t="s">
        <v>909</v>
      </c>
      <c r="B292" s="13" t="s">
        <v>229</v>
      </c>
      <c r="C292" s="3"/>
      <c r="D292" s="4" t="s">
        <v>230</v>
      </c>
      <c r="E292" s="4"/>
      <c r="G292" s="4">
        <v>25</v>
      </c>
      <c r="I292" s="4" t="s">
        <v>883</v>
      </c>
      <c r="J292" s="3"/>
      <c r="K292" s="3"/>
      <c r="L292" s="3">
        <f>Planilha1!$J292-Planilha1!$K292</f>
        <v>0</v>
      </c>
      <c r="M292" s="3"/>
      <c r="EB292" s="4" t="s">
        <v>888</v>
      </c>
      <c r="FE292" s="4" t="s">
        <v>910</v>
      </c>
      <c r="HM292" s="4"/>
    </row>
    <row r="293" spans="1:223" ht="30" x14ac:dyDescent="0.25">
      <c r="A293" s="19" t="s">
        <v>911</v>
      </c>
      <c r="B293" s="13" t="s">
        <v>229</v>
      </c>
      <c r="C293" s="3"/>
      <c r="D293" s="4" t="s">
        <v>230</v>
      </c>
      <c r="E293" s="4"/>
      <c r="G293" s="4">
        <v>25</v>
      </c>
      <c r="I293" s="4" t="s">
        <v>883</v>
      </c>
      <c r="J293" s="3"/>
      <c r="K293" s="3"/>
      <c r="L293" s="3">
        <f>Planilha1!$J293-Planilha1!$K293</f>
        <v>0</v>
      </c>
      <c r="M293" s="3"/>
      <c r="DX293" s="4" t="s">
        <v>912</v>
      </c>
      <c r="EA293" s="4" t="s">
        <v>913</v>
      </c>
      <c r="EB293" s="4" t="s">
        <v>914</v>
      </c>
      <c r="FE293" s="4" t="s">
        <v>915</v>
      </c>
      <c r="HM293" s="4"/>
    </row>
    <row r="294" spans="1:223" ht="30" x14ac:dyDescent="0.25">
      <c r="A294" s="19" t="s">
        <v>916</v>
      </c>
      <c r="B294" s="13" t="s">
        <v>229</v>
      </c>
      <c r="C294" s="3"/>
      <c r="D294" s="4" t="s">
        <v>230</v>
      </c>
      <c r="E294" s="4"/>
      <c r="G294" s="4">
        <v>25</v>
      </c>
      <c r="I294" s="4" t="s">
        <v>883</v>
      </c>
      <c r="J294" s="3"/>
      <c r="K294" s="3"/>
      <c r="L294" s="3">
        <f>Planilha1!$J294-Planilha1!$K294</f>
        <v>0</v>
      </c>
      <c r="M294" s="3"/>
      <c r="DX294" s="4" t="s">
        <v>917</v>
      </c>
      <c r="EA294" s="4" t="s">
        <v>864</v>
      </c>
      <c r="EB294" s="4" t="s">
        <v>918</v>
      </c>
      <c r="FE294" s="4" t="s">
        <v>919</v>
      </c>
      <c r="HM294" s="4"/>
    </row>
    <row r="295" spans="1:223" ht="30" x14ac:dyDescent="0.25">
      <c r="A295" s="19" t="s">
        <v>920</v>
      </c>
      <c r="B295" s="13" t="s">
        <v>229</v>
      </c>
      <c r="C295" s="3"/>
      <c r="D295" s="4" t="s">
        <v>230</v>
      </c>
      <c r="E295" s="4"/>
      <c r="G295" s="4">
        <v>25</v>
      </c>
      <c r="I295" s="4" t="s">
        <v>883</v>
      </c>
      <c r="J295" s="3"/>
      <c r="K295" s="3"/>
      <c r="L295" s="3">
        <f>Planilha1!$J295-Planilha1!$K295</f>
        <v>0</v>
      </c>
      <c r="M295" s="3"/>
      <c r="DX295" s="4" t="s">
        <v>921</v>
      </c>
      <c r="EA295" s="4" t="s">
        <v>922</v>
      </c>
      <c r="EB295" s="4" t="s">
        <v>918</v>
      </c>
      <c r="FE295" s="4" t="s">
        <v>923</v>
      </c>
      <c r="HM295" s="4"/>
    </row>
    <row r="296" spans="1:223" x14ac:dyDescent="0.25">
      <c r="A296" s="2" t="s">
        <v>924</v>
      </c>
      <c r="B296" s="13" t="s">
        <v>229</v>
      </c>
      <c r="C296" s="3"/>
      <c r="D296" s="4" t="s">
        <v>230</v>
      </c>
      <c r="E296" s="4"/>
      <c r="G296" s="4">
        <v>25</v>
      </c>
      <c r="I296" s="4" t="s">
        <v>883</v>
      </c>
      <c r="J296" s="3"/>
      <c r="K296" s="3"/>
      <c r="L296" s="3">
        <f>Planilha1!$J296-Planilha1!$K296</f>
        <v>0</v>
      </c>
      <c r="M296" s="3"/>
      <c r="HM296" s="4"/>
    </row>
    <row r="297" spans="1:223" ht="30" x14ac:dyDescent="0.25">
      <c r="A297" s="2" t="s">
        <v>925</v>
      </c>
      <c r="B297" s="13" t="s">
        <v>229</v>
      </c>
      <c r="C297" s="3"/>
      <c r="D297" s="4" t="s">
        <v>230</v>
      </c>
      <c r="E297" s="4"/>
      <c r="G297" s="4">
        <v>25</v>
      </c>
      <c r="I297" s="4" t="s">
        <v>883</v>
      </c>
      <c r="J297" s="3"/>
      <c r="K297" s="3"/>
      <c r="L297" s="3">
        <f>Planilha1!$J297-Planilha1!$K297</f>
        <v>0</v>
      </c>
      <c r="M297" s="3"/>
      <c r="EB297" s="4" t="s">
        <v>333</v>
      </c>
      <c r="EY297" s="4" t="s">
        <v>926</v>
      </c>
      <c r="HM297" s="4"/>
    </row>
    <row r="298" spans="1:223" x14ac:dyDescent="0.25">
      <c r="A298" s="2" t="s">
        <v>927</v>
      </c>
      <c r="B298" s="13" t="s">
        <v>229</v>
      </c>
      <c r="C298" s="3"/>
      <c r="D298" s="4" t="s">
        <v>230</v>
      </c>
      <c r="E298" s="4"/>
      <c r="G298" s="4">
        <v>25</v>
      </c>
      <c r="I298" s="4" t="s">
        <v>928</v>
      </c>
      <c r="J298" s="3"/>
      <c r="K298" s="3"/>
      <c r="L298" s="3">
        <f>Planilha1!$J298-Planilha1!$K298</f>
        <v>0</v>
      </c>
      <c r="M298" s="3"/>
      <c r="AR298" s="4" t="s">
        <v>350</v>
      </c>
      <c r="HM298" s="4"/>
    </row>
    <row r="299" spans="1:223" x14ac:dyDescent="0.25">
      <c r="A299" s="2" t="s">
        <v>929</v>
      </c>
      <c r="B299" s="13" t="s">
        <v>229</v>
      </c>
      <c r="C299" s="3"/>
      <c r="D299" s="4" t="s">
        <v>230</v>
      </c>
      <c r="E299" s="4"/>
      <c r="G299" s="4">
        <v>25</v>
      </c>
      <c r="I299" s="4" t="s">
        <v>883</v>
      </c>
      <c r="J299" s="3"/>
      <c r="K299" s="3"/>
      <c r="L299" s="3">
        <f>Planilha1!$J299-Planilha1!$K299</f>
        <v>0</v>
      </c>
      <c r="M299" s="3"/>
      <c r="EB299" s="4" t="s">
        <v>324</v>
      </c>
      <c r="HM299" s="4"/>
    </row>
    <row r="300" spans="1:223" ht="60" x14ac:dyDescent="0.25">
      <c r="A300" s="19" t="s">
        <v>930</v>
      </c>
      <c r="B300" s="13" t="s">
        <v>229</v>
      </c>
      <c r="C300" s="3"/>
      <c r="D300" s="4" t="s">
        <v>230</v>
      </c>
      <c r="E300" s="4"/>
      <c r="F300" s="4" t="s">
        <v>231</v>
      </c>
      <c r="G300" s="4">
        <v>20</v>
      </c>
      <c r="I300" s="4" t="s">
        <v>293</v>
      </c>
      <c r="J300" s="3"/>
      <c r="K300" s="3"/>
      <c r="L300" s="3">
        <f>Planilha1!$J300-Planilha1!$K300</f>
        <v>0</v>
      </c>
      <c r="M300" s="3"/>
      <c r="N300" s="4" t="s">
        <v>287</v>
      </c>
      <c r="V300" s="4" t="s">
        <v>350</v>
      </c>
      <c r="AB300" s="4" t="s">
        <v>691</v>
      </c>
      <c r="AR300" s="4" t="s">
        <v>931</v>
      </c>
      <c r="BI300" s="4" t="s">
        <v>932</v>
      </c>
      <c r="BV300" s="4" t="s">
        <v>933</v>
      </c>
      <c r="DJ300" s="4" t="s">
        <v>934</v>
      </c>
      <c r="EM300" s="4" t="s">
        <v>350</v>
      </c>
      <c r="FU300" s="4" t="s">
        <v>850</v>
      </c>
      <c r="HK300" s="4" t="s">
        <v>328</v>
      </c>
      <c r="HM300" s="4"/>
    </row>
    <row r="301" spans="1:223" ht="45" x14ac:dyDescent="0.25">
      <c r="A301" s="19" t="s">
        <v>935</v>
      </c>
      <c r="B301" s="13" t="s">
        <v>229</v>
      </c>
      <c r="C301" s="3"/>
      <c r="D301" s="3" t="s">
        <v>281</v>
      </c>
      <c r="E301" s="4" t="s">
        <v>282</v>
      </c>
      <c r="F301" s="4" t="s">
        <v>936</v>
      </c>
      <c r="I301" s="4" t="s">
        <v>332</v>
      </c>
      <c r="J301" s="3"/>
      <c r="K301" s="3"/>
      <c r="L301" s="3">
        <f>Planilha1!$J301-Planilha1!$K301</f>
        <v>0</v>
      </c>
      <c r="M301" s="3"/>
      <c r="FG301" s="4" t="s">
        <v>235</v>
      </c>
      <c r="HM301" s="4"/>
    </row>
    <row r="302" spans="1:223" ht="30" x14ac:dyDescent="0.25">
      <c r="A302" s="19" t="s">
        <v>937</v>
      </c>
      <c r="B302" s="13" t="s">
        <v>229</v>
      </c>
      <c r="C302" s="3"/>
      <c r="D302" s="4" t="s">
        <v>281</v>
      </c>
      <c r="E302" s="4" t="s">
        <v>331</v>
      </c>
      <c r="F302" s="4" t="s">
        <v>938</v>
      </c>
      <c r="I302" s="4" t="s">
        <v>332</v>
      </c>
      <c r="J302" s="3"/>
      <c r="K302" s="3"/>
      <c r="L302" s="3">
        <f>Planilha1!$J302-Planilha1!$K302</f>
        <v>0</v>
      </c>
      <c r="M302" s="3"/>
      <c r="HM302" s="4"/>
      <c r="HO302" s="4" t="s">
        <v>235</v>
      </c>
    </row>
    <row r="303" spans="1:223" ht="30" x14ac:dyDescent="0.25">
      <c r="A303" s="19" t="s">
        <v>939</v>
      </c>
      <c r="B303" s="13" t="s">
        <v>229</v>
      </c>
      <c r="C303" s="3"/>
      <c r="D303" s="4" t="s">
        <v>281</v>
      </c>
      <c r="E303" s="4" t="s">
        <v>331</v>
      </c>
      <c r="I303" s="4" t="s">
        <v>332</v>
      </c>
      <c r="J303" s="3"/>
      <c r="K303" s="3"/>
      <c r="L303" s="3">
        <f>Planilha1!$J303-Planilha1!$K303</f>
        <v>0</v>
      </c>
      <c r="M303" s="3"/>
      <c r="ET303" s="4" t="s">
        <v>235</v>
      </c>
      <c r="HM303" s="4"/>
    </row>
    <row r="304" spans="1:223" x14ac:dyDescent="0.25">
      <c r="A304" s="19" t="s">
        <v>940</v>
      </c>
      <c r="B304" s="13" t="s">
        <v>229</v>
      </c>
      <c r="C304" s="3"/>
      <c r="D304" s="4" t="s">
        <v>281</v>
      </c>
      <c r="E304" s="4" t="s">
        <v>282</v>
      </c>
      <c r="F304" s="4" t="s">
        <v>938</v>
      </c>
      <c r="I304" s="4" t="s">
        <v>400</v>
      </c>
      <c r="J304" s="3"/>
      <c r="K304" s="3"/>
      <c r="L304" s="3">
        <f>Planilha1!$J304-Planilha1!$K304</f>
        <v>0</v>
      </c>
      <c r="M304" s="3"/>
      <c r="FC304" s="4" t="s">
        <v>235</v>
      </c>
      <c r="HM304" s="4"/>
    </row>
    <row r="305" spans="1:231" ht="45" x14ac:dyDescent="0.25">
      <c r="A305" s="19" t="s">
        <v>941</v>
      </c>
      <c r="B305" s="13" t="s">
        <v>229</v>
      </c>
      <c r="C305" s="3"/>
      <c r="D305" s="3" t="s">
        <v>281</v>
      </c>
      <c r="E305" s="4" t="s">
        <v>282</v>
      </c>
      <c r="F305" s="4" t="s">
        <v>942</v>
      </c>
      <c r="I305" s="4" t="s">
        <v>332</v>
      </c>
      <c r="J305" s="3"/>
      <c r="K305" s="3"/>
      <c r="L305" s="3">
        <f>Planilha1!$J305-Planilha1!$K305</f>
        <v>0</v>
      </c>
      <c r="M305" s="3"/>
      <c r="FG305" s="4" t="s">
        <v>235</v>
      </c>
      <c r="HM305" s="4"/>
    </row>
    <row r="306" spans="1:231" ht="30" x14ac:dyDescent="0.25">
      <c r="A306" s="24" t="s">
        <v>943</v>
      </c>
      <c r="B306" s="13" t="s">
        <v>229</v>
      </c>
      <c r="C306" s="3"/>
      <c r="D306" s="3" t="s">
        <v>281</v>
      </c>
      <c r="E306" s="3" t="s">
        <v>282</v>
      </c>
      <c r="F306" s="3"/>
      <c r="G306" s="3"/>
      <c r="H306" s="3"/>
      <c r="I306" s="3" t="s">
        <v>400</v>
      </c>
      <c r="J306" s="3"/>
      <c r="K306" s="3"/>
      <c r="L306" s="3">
        <f>Planilha1!$J306-Planilha1!$K306</f>
        <v>0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 t="s">
        <v>235</v>
      </c>
      <c r="EP306" s="3"/>
      <c r="EQ306" s="3"/>
      <c r="ER306" s="3"/>
      <c r="ES306" s="3"/>
      <c r="ET306" s="3"/>
      <c r="EU306" s="3"/>
      <c r="EV306" s="3" t="s">
        <v>398</v>
      </c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</row>
    <row r="307" spans="1:231" x14ac:dyDescent="0.25">
      <c r="A307" s="19" t="s">
        <v>944</v>
      </c>
      <c r="B307" s="13" t="s">
        <v>229</v>
      </c>
      <c r="C307" s="3"/>
      <c r="D307" s="4" t="s">
        <v>281</v>
      </c>
      <c r="E307" s="4" t="s">
        <v>331</v>
      </c>
      <c r="I307" s="4" t="s">
        <v>332</v>
      </c>
      <c r="J307" s="3"/>
      <c r="K307" s="3"/>
      <c r="L307" s="3">
        <f>Planilha1!$J307-Planilha1!$K307</f>
        <v>0</v>
      </c>
      <c r="M307" s="3"/>
      <c r="GF307" s="4" t="s">
        <v>945</v>
      </c>
      <c r="HM307" s="4"/>
    </row>
    <row r="308" spans="1:231" ht="45" x14ac:dyDescent="0.25">
      <c r="A308" s="19" t="s">
        <v>946</v>
      </c>
      <c r="B308" s="13" t="s">
        <v>229</v>
      </c>
      <c r="C308" s="3"/>
      <c r="D308" s="3" t="s">
        <v>281</v>
      </c>
      <c r="E308" s="4" t="s">
        <v>282</v>
      </c>
      <c r="F308" s="4" t="s">
        <v>936</v>
      </c>
      <c r="I308" s="4" t="s">
        <v>332</v>
      </c>
      <c r="J308" s="3"/>
      <c r="K308" s="3"/>
      <c r="L308" s="3">
        <f>Planilha1!$J308-Planilha1!$K308</f>
        <v>0</v>
      </c>
      <c r="M308" s="3"/>
      <c r="FG308" s="4" t="s">
        <v>235</v>
      </c>
      <c r="HM308" s="4"/>
    </row>
    <row r="309" spans="1:231" s="3" customFormat="1" ht="30" x14ac:dyDescent="0.25">
      <c r="A309" s="19" t="s">
        <v>947</v>
      </c>
      <c r="B309" s="13" t="s">
        <v>229</v>
      </c>
      <c r="D309" s="4" t="s">
        <v>281</v>
      </c>
      <c r="E309" s="4" t="s">
        <v>331</v>
      </c>
      <c r="F309" s="4"/>
      <c r="G309" s="4"/>
      <c r="H309" s="4"/>
      <c r="I309" s="4" t="s">
        <v>332</v>
      </c>
      <c r="L309" s="3">
        <f>Planilha1!$J309-Planilha1!$K309</f>
        <v>0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 t="s">
        <v>235</v>
      </c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W309" s="45"/>
    </row>
    <row r="310" spans="1:231" ht="30" x14ac:dyDescent="0.25">
      <c r="A310" s="19" t="s">
        <v>948</v>
      </c>
      <c r="B310" s="13" t="s">
        <v>229</v>
      </c>
      <c r="C310" s="3"/>
      <c r="D310" s="4" t="s">
        <v>281</v>
      </c>
      <c r="E310" s="4" t="s">
        <v>338</v>
      </c>
      <c r="I310" s="4" t="s">
        <v>332</v>
      </c>
      <c r="J310" s="3"/>
      <c r="K310" s="3"/>
      <c r="L310" s="3">
        <f>Planilha1!$J310-Planilha1!$K310</f>
        <v>0</v>
      </c>
      <c r="M310" s="3"/>
      <c r="ET310" s="4" t="s">
        <v>235</v>
      </c>
      <c r="HM310" s="4"/>
    </row>
    <row r="311" spans="1:231" x14ac:dyDescent="0.25">
      <c r="A311" s="19" t="s">
        <v>949</v>
      </c>
      <c r="B311" s="13" t="s">
        <v>229</v>
      </c>
      <c r="C311" s="3"/>
      <c r="D311" s="4" t="s">
        <v>281</v>
      </c>
      <c r="E311" s="4" t="s">
        <v>282</v>
      </c>
      <c r="I311" s="4" t="s">
        <v>332</v>
      </c>
      <c r="J311" s="3"/>
      <c r="K311" s="3"/>
      <c r="L311" s="3">
        <f>Planilha1!$J311-Planilha1!$K311</f>
        <v>0</v>
      </c>
      <c r="M311" s="3"/>
      <c r="ET311" s="4" t="s">
        <v>235</v>
      </c>
      <c r="FQ311" s="4" t="s">
        <v>540</v>
      </c>
      <c r="HM311" s="4"/>
    </row>
    <row r="312" spans="1:231" ht="30" x14ac:dyDescent="0.25">
      <c r="A312" s="19" t="s">
        <v>950</v>
      </c>
      <c r="B312" s="13" t="s">
        <v>229</v>
      </c>
      <c r="C312" s="3"/>
      <c r="D312" s="4" t="s">
        <v>281</v>
      </c>
      <c r="E312" s="4" t="s">
        <v>331</v>
      </c>
      <c r="I312" s="4" t="s">
        <v>332</v>
      </c>
      <c r="J312" s="3"/>
      <c r="K312" s="3"/>
      <c r="L312" s="3">
        <f>Planilha1!$J312-Planilha1!$K312</f>
        <v>0</v>
      </c>
      <c r="M312" s="3"/>
      <c r="FW312" s="4" t="s">
        <v>235</v>
      </c>
      <c r="HM312" s="4"/>
    </row>
    <row r="313" spans="1:231" x14ac:dyDescent="0.25">
      <c r="A313" s="19" t="s">
        <v>951</v>
      </c>
      <c r="B313" s="13" t="s">
        <v>229</v>
      </c>
      <c r="C313" s="3"/>
      <c r="D313" s="4" t="s">
        <v>281</v>
      </c>
      <c r="E313" s="4" t="s">
        <v>331</v>
      </c>
      <c r="I313" s="4" t="s">
        <v>332</v>
      </c>
      <c r="J313" s="3"/>
      <c r="K313" s="3"/>
      <c r="L313" s="3">
        <f>Planilha1!$J313-Planilha1!$K313</f>
        <v>0</v>
      </c>
      <c r="M313" s="3"/>
      <c r="FW313" s="4" t="s">
        <v>235</v>
      </c>
      <c r="HM313" s="4"/>
    </row>
    <row r="314" spans="1:231" x14ac:dyDescent="0.25">
      <c r="A314" s="19" t="s">
        <v>952</v>
      </c>
      <c r="B314" s="13" t="s">
        <v>229</v>
      </c>
      <c r="C314" s="3"/>
      <c r="D314" s="4" t="s">
        <v>281</v>
      </c>
      <c r="E314" s="4" t="s">
        <v>331</v>
      </c>
      <c r="I314" s="4" t="s">
        <v>332</v>
      </c>
      <c r="J314" s="3"/>
      <c r="K314" s="3"/>
      <c r="L314" s="3">
        <f>Planilha1!$J314-Planilha1!$K314</f>
        <v>0</v>
      </c>
      <c r="M314" s="3"/>
      <c r="ET314" s="4" t="s">
        <v>235</v>
      </c>
      <c r="HM314" s="4"/>
    </row>
    <row r="315" spans="1:231" ht="30" x14ac:dyDescent="0.25">
      <c r="A315" s="19" t="s">
        <v>953</v>
      </c>
      <c r="B315" s="13" t="s">
        <v>229</v>
      </c>
      <c r="C315" s="3"/>
      <c r="D315" s="4" t="s">
        <v>281</v>
      </c>
      <c r="E315" s="4" t="s">
        <v>331</v>
      </c>
      <c r="I315" s="4" t="s">
        <v>285</v>
      </c>
      <c r="J315" s="3"/>
      <c r="K315" s="3"/>
      <c r="L315" s="3">
        <f>Planilha1!$J315-Planilha1!$K315</f>
        <v>0</v>
      </c>
      <c r="M315" s="3"/>
      <c r="HB315" s="4" t="s">
        <v>235</v>
      </c>
      <c r="HM315" s="4"/>
    </row>
    <row r="316" spans="1:231" x14ac:dyDescent="0.25">
      <c r="A316" s="19" t="s">
        <v>954</v>
      </c>
      <c r="B316" s="13" t="s">
        <v>229</v>
      </c>
      <c r="C316" s="3"/>
      <c r="D316" s="4" t="s">
        <v>281</v>
      </c>
      <c r="E316" s="4" t="s">
        <v>282</v>
      </c>
      <c r="I316" s="4" t="s">
        <v>332</v>
      </c>
      <c r="J316" s="3"/>
      <c r="K316" s="3"/>
      <c r="L316" s="3">
        <f>Planilha1!$J316-Planilha1!$K316</f>
        <v>0</v>
      </c>
      <c r="M316" s="3"/>
      <c r="FC316" s="4" t="s">
        <v>235</v>
      </c>
      <c r="HM316" s="4"/>
    </row>
    <row r="317" spans="1:231" x14ac:dyDescent="0.25">
      <c r="A317" s="19" t="s">
        <v>955</v>
      </c>
      <c r="B317" s="13" t="s">
        <v>229</v>
      </c>
      <c r="C317" s="3"/>
      <c r="D317" s="4" t="s">
        <v>281</v>
      </c>
      <c r="E317" s="4" t="s">
        <v>331</v>
      </c>
      <c r="I317" s="4" t="s">
        <v>332</v>
      </c>
      <c r="J317" s="3"/>
      <c r="K317" s="3"/>
      <c r="L317" s="3">
        <f>Planilha1!$J317-Planilha1!$K317</f>
        <v>0</v>
      </c>
      <c r="M317" s="3"/>
      <c r="HM317" s="4"/>
      <c r="HO317" s="4" t="s">
        <v>235</v>
      </c>
    </row>
    <row r="318" spans="1:231" ht="45" x14ac:dyDescent="0.25">
      <c r="A318" s="19" t="s">
        <v>956</v>
      </c>
      <c r="B318" s="13" t="s">
        <v>229</v>
      </c>
      <c r="C318" s="3"/>
      <c r="D318" s="3" t="s">
        <v>281</v>
      </c>
      <c r="E318" s="4" t="s">
        <v>282</v>
      </c>
      <c r="F318" s="4" t="s">
        <v>936</v>
      </c>
      <c r="I318" s="4" t="s">
        <v>332</v>
      </c>
      <c r="J318" s="3"/>
      <c r="K318" s="3"/>
      <c r="L318" s="3">
        <f>Planilha1!$J318-Planilha1!$K318</f>
        <v>0</v>
      </c>
      <c r="M318" s="3"/>
      <c r="FG318" s="4" t="s">
        <v>235</v>
      </c>
      <c r="HM318" s="4"/>
    </row>
    <row r="319" spans="1:231" x14ac:dyDescent="0.25">
      <c r="A319" s="19" t="s">
        <v>957</v>
      </c>
      <c r="B319" s="13" t="s">
        <v>229</v>
      </c>
      <c r="C319" s="3"/>
      <c r="D319" s="4" t="s">
        <v>281</v>
      </c>
      <c r="E319" s="4" t="s">
        <v>282</v>
      </c>
      <c r="I319" s="4" t="s">
        <v>400</v>
      </c>
      <c r="J319" s="3"/>
      <c r="K319" s="3"/>
      <c r="L319" s="3">
        <f>Planilha1!$J319-Planilha1!$K319</f>
        <v>0</v>
      </c>
      <c r="M319" s="3"/>
      <c r="HM319" s="4"/>
      <c r="HO319" s="4" t="s">
        <v>235</v>
      </c>
    </row>
    <row r="320" spans="1:231" ht="45" x14ac:dyDescent="0.25">
      <c r="A320" s="19" t="s">
        <v>958</v>
      </c>
      <c r="B320" s="13" t="s">
        <v>229</v>
      </c>
      <c r="C320" s="3"/>
      <c r="D320" s="3" t="s">
        <v>281</v>
      </c>
      <c r="E320" s="4" t="s">
        <v>282</v>
      </c>
      <c r="F320" s="4" t="s">
        <v>936</v>
      </c>
      <c r="I320" s="4" t="s">
        <v>332</v>
      </c>
      <c r="J320" s="3"/>
      <c r="K320" s="3"/>
      <c r="L320" s="3">
        <f>Planilha1!$J320-Planilha1!$K320</f>
        <v>0</v>
      </c>
      <c r="M320" s="3"/>
      <c r="FG320" s="4" t="s">
        <v>235</v>
      </c>
      <c r="HM320" s="4"/>
    </row>
    <row r="321" spans="1:223" x14ac:dyDescent="0.25">
      <c r="A321" s="19" t="s">
        <v>959</v>
      </c>
      <c r="B321" s="13" t="s">
        <v>229</v>
      </c>
      <c r="C321" s="3"/>
      <c r="D321" s="4" t="s">
        <v>281</v>
      </c>
      <c r="E321" s="4" t="s">
        <v>282</v>
      </c>
      <c r="I321" s="4" t="s">
        <v>400</v>
      </c>
      <c r="J321" s="3"/>
      <c r="K321" s="3"/>
      <c r="L321" s="3">
        <f>Planilha1!$J321-Planilha1!$K321</f>
        <v>0</v>
      </c>
      <c r="M321" s="3"/>
      <c r="EO321" s="4" t="s">
        <v>235</v>
      </c>
      <c r="GI321" s="4" t="s">
        <v>960</v>
      </c>
      <c r="HM321" s="4"/>
    </row>
    <row r="322" spans="1:223" x14ac:dyDescent="0.25">
      <c r="A322" s="19" t="s">
        <v>961</v>
      </c>
      <c r="B322" s="13" t="s">
        <v>229</v>
      </c>
      <c r="C322" s="3"/>
      <c r="D322" s="4" t="s">
        <v>281</v>
      </c>
      <c r="E322" s="4" t="s">
        <v>282</v>
      </c>
      <c r="I322" s="4" t="s">
        <v>400</v>
      </c>
      <c r="J322" s="3"/>
      <c r="K322" s="3"/>
      <c r="L322" s="3">
        <f>Planilha1!$J322-Planilha1!$K322</f>
        <v>0</v>
      </c>
      <c r="M322" s="3"/>
      <c r="GF322" s="4" t="s">
        <v>235</v>
      </c>
      <c r="HM322" s="4"/>
    </row>
    <row r="323" spans="1:223" ht="45" x14ac:dyDescent="0.25">
      <c r="A323" s="19" t="s">
        <v>962</v>
      </c>
      <c r="B323" s="13" t="s">
        <v>229</v>
      </c>
      <c r="C323" s="3"/>
      <c r="D323" s="3" t="s">
        <v>281</v>
      </c>
      <c r="E323" s="4" t="s">
        <v>282</v>
      </c>
      <c r="F323" s="4" t="s">
        <v>936</v>
      </c>
      <c r="I323" s="4" t="s">
        <v>332</v>
      </c>
      <c r="J323" s="3"/>
      <c r="K323" s="3"/>
      <c r="L323" s="3">
        <f>Planilha1!$J323-Planilha1!$K323</f>
        <v>0</v>
      </c>
      <c r="M323" s="3"/>
      <c r="FG323" s="4" t="s">
        <v>235</v>
      </c>
      <c r="HM323" s="4"/>
    </row>
    <row r="324" spans="1:223" x14ac:dyDescent="0.25">
      <c r="A324" s="19" t="s">
        <v>963</v>
      </c>
      <c r="B324" s="13" t="s">
        <v>229</v>
      </c>
      <c r="C324" s="3"/>
      <c r="D324" s="4" t="s">
        <v>281</v>
      </c>
      <c r="E324" s="4" t="s">
        <v>338</v>
      </c>
      <c r="I324" s="4" t="s">
        <v>332</v>
      </c>
      <c r="J324" s="3"/>
      <c r="K324" s="3"/>
      <c r="L324" s="3">
        <f>Planilha1!$J324-Planilha1!$K324</f>
        <v>0</v>
      </c>
      <c r="M324" s="3"/>
      <c r="FC324" s="4" t="s">
        <v>235</v>
      </c>
      <c r="HM324" s="4"/>
    </row>
    <row r="325" spans="1:223" ht="30" x14ac:dyDescent="0.25">
      <c r="A325" s="19" t="s">
        <v>964</v>
      </c>
      <c r="B325" s="13" t="s">
        <v>229</v>
      </c>
      <c r="C325" s="3"/>
      <c r="D325" s="4" t="s">
        <v>281</v>
      </c>
      <c r="E325" s="4" t="s">
        <v>331</v>
      </c>
      <c r="I325" s="4" t="s">
        <v>332</v>
      </c>
      <c r="J325" s="3"/>
      <c r="K325" s="3"/>
      <c r="L325" s="3">
        <f>Planilha1!$J325-Planilha1!$K325</f>
        <v>0</v>
      </c>
      <c r="M325" s="3"/>
      <c r="HL325" s="4" t="s">
        <v>235</v>
      </c>
      <c r="HM325" s="4"/>
    </row>
    <row r="326" spans="1:223" ht="30" x14ac:dyDescent="0.25">
      <c r="A326" s="19" t="s">
        <v>965</v>
      </c>
      <c r="B326" s="13" t="s">
        <v>229</v>
      </c>
      <c r="C326" s="3"/>
      <c r="D326" s="4" t="s">
        <v>281</v>
      </c>
      <c r="E326" s="4" t="s">
        <v>282</v>
      </c>
      <c r="I326" s="4" t="s">
        <v>400</v>
      </c>
      <c r="J326" s="3"/>
      <c r="K326" s="3"/>
      <c r="L326" s="3">
        <f>Planilha1!$J326-Planilha1!$K326</f>
        <v>0</v>
      </c>
      <c r="M326" s="3"/>
      <c r="EO326" s="4" t="s">
        <v>235</v>
      </c>
      <c r="HM326" s="4"/>
    </row>
    <row r="327" spans="1:223" x14ac:dyDescent="0.25">
      <c r="A327" s="19" t="s">
        <v>966</v>
      </c>
      <c r="B327" s="13" t="s">
        <v>229</v>
      </c>
      <c r="C327" s="3"/>
      <c r="D327" s="4" t="s">
        <v>281</v>
      </c>
      <c r="E327" s="4" t="s">
        <v>282</v>
      </c>
      <c r="I327" s="4" t="s">
        <v>400</v>
      </c>
      <c r="J327" s="3"/>
      <c r="K327" s="3"/>
      <c r="L327" s="3">
        <f>Planilha1!$J327-Planilha1!$K327</f>
        <v>0</v>
      </c>
      <c r="M327" s="3"/>
      <c r="FQ327" s="4" t="s">
        <v>235</v>
      </c>
      <c r="HM327" s="4"/>
    </row>
    <row r="328" spans="1:223" x14ac:dyDescent="0.25">
      <c r="A328" s="2" t="s">
        <v>967</v>
      </c>
      <c r="B328" s="13" t="s">
        <v>229</v>
      </c>
      <c r="C328" s="3"/>
      <c r="D328" s="4" t="s">
        <v>281</v>
      </c>
      <c r="E328" s="4" t="s">
        <v>338</v>
      </c>
      <c r="I328" s="4" t="s">
        <v>400</v>
      </c>
      <c r="J328" s="3"/>
      <c r="K328" s="3"/>
      <c r="L328" s="3">
        <f>Planilha1!$J328-Planilha1!$K328</f>
        <v>0</v>
      </c>
      <c r="M328" s="3"/>
      <c r="EX328" s="4" t="s">
        <v>235</v>
      </c>
      <c r="FM328" s="4" t="s">
        <v>309</v>
      </c>
      <c r="HM328" s="4"/>
    </row>
    <row r="329" spans="1:223" ht="30" x14ac:dyDescent="0.25">
      <c r="A329" s="19" t="s">
        <v>968</v>
      </c>
      <c r="B329" s="13" t="s">
        <v>229</v>
      </c>
      <c r="C329" s="3"/>
      <c r="D329" s="4" t="s">
        <v>281</v>
      </c>
      <c r="E329" s="4" t="s">
        <v>282</v>
      </c>
      <c r="I329" s="4" t="s">
        <v>400</v>
      </c>
      <c r="J329" s="3"/>
      <c r="K329" s="3"/>
      <c r="L329" s="3">
        <f>Planilha1!$J329-Planilha1!$K329</f>
        <v>0</v>
      </c>
      <c r="M329" s="3"/>
      <c r="FQ329" s="4" t="s">
        <v>235</v>
      </c>
      <c r="HM329" s="4"/>
    </row>
    <row r="330" spans="1:223" x14ac:dyDescent="0.25">
      <c r="A330" s="19" t="s">
        <v>969</v>
      </c>
      <c r="B330" s="13" t="s">
        <v>229</v>
      </c>
      <c r="C330" s="3"/>
      <c r="D330" s="4" t="s">
        <v>281</v>
      </c>
      <c r="E330" s="4" t="s">
        <v>282</v>
      </c>
      <c r="I330" s="4" t="s">
        <v>332</v>
      </c>
      <c r="J330" s="3"/>
      <c r="K330" s="3"/>
      <c r="L330" s="3">
        <f>Planilha1!$J330-Planilha1!$K330</f>
        <v>0</v>
      </c>
      <c r="M330" s="3"/>
      <c r="ET330" s="4" t="s">
        <v>235</v>
      </c>
      <c r="FQ330" s="4" t="s">
        <v>540</v>
      </c>
      <c r="HM330" s="4"/>
    </row>
    <row r="331" spans="1:223" x14ac:dyDescent="0.25">
      <c r="A331" s="19" t="s">
        <v>970</v>
      </c>
      <c r="B331" s="13" t="s">
        <v>229</v>
      </c>
      <c r="C331" s="3"/>
      <c r="D331" s="4" t="s">
        <v>281</v>
      </c>
      <c r="E331" s="4" t="s">
        <v>282</v>
      </c>
      <c r="I331" s="4" t="s">
        <v>400</v>
      </c>
      <c r="J331" s="3"/>
      <c r="K331" s="3"/>
      <c r="L331" s="3">
        <f>Planilha1!$J331-Planilha1!$K331</f>
        <v>0</v>
      </c>
      <c r="M331" s="3"/>
      <c r="HM331" s="4"/>
      <c r="HO331" s="4" t="s">
        <v>235</v>
      </c>
    </row>
    <row r="332" spans="1:223" x14ac:dyDescent="0.25">
      <c r="A332" s="19" t="s">
        <v>971</v>
      </c>
      <c r="B332" s="13" t="s">
        <v>229</v>
      </c>
      <c r="C332" s="3"/>
      <c r="D332" s="4" t="s">
        <v>281</v>
      </c>
      <c r="E332" s="4" t="s">
        <v>282</v>
      </c>
      <c r="I332" s="4" t="s">
        <v>400</v>
      </c>
      <c r="J332" s="3"/>
      <c r="K332" s="3"/>
      <c r="L332" s="3">
        <f>Planilha1!$J332-Planilha1!$K332</f>
        <v>0</v>
      </c>
      <c r="M332" s="3"/>
      <c r="FW332" s="4" t="s">
        <v>235</v>
      </c>
      <c r="HM332" s="4"/>
    </row>
    <row r="333" spans="1:223" x14ac:dyDescent="0.25">
      <c r="A333" s="19" t="s">
        <v>972</v>
      </c>
      <c r="B333" s="13" t="s">
        <v>229</v>
      </c>
      <c r="C333" s="3"/>
      <c r="D333" s="4" t="s">
        <v>281</v>
      </c>
      <c r="E333" s="4" t="s">
        <v>282</v>
      </c>
      <c r="I333" s="4" t="s">
        <v>406</v>
      </c>
      <c r="J333" s="3"/>
      <c r="K333" s="3"/>
      <c r="L333" s="3">
        <f>Planilha1!$J333-Planilha1!$K333</f>
        <v>0</v>
      </c>
      <c r="M333" s="3"/>
      <c r="EO333" s="4" t="s">
        <v>235</v>
      </c>
      <c r="HM333" s="4"/>
    </row>
    <row r="334" spans="1:223" ht="45" x14ac:dyDescent="0.25">
      <c r="A334" s="19" t="s">
        <v>973</v>
      </c>
      <c r="B334" s="13" t="s">
        <v>229</v>
      </c>
      <c r="C334" s="3"/>
      <c r="D334" s="4" t="s">
        <v>281</v>
      </c>
      <c r="E334" s="4" t="s">
        <v>331</v>
      </c>
      <c r="I334" s="4" t="s">
        <v>332</v>
      </c>
      <c r="J334" s="3"/>
      <c r="K334" s="3"/>
      <c r="L334" s="3">
        <f>Planilha1!$J334-Planilha1!$K334</f>
        <v>0</v>
      </c>
      <c r="M334" s="3"/>
      <c r="EB334" s="4" t="s">
        <v>235</v>
      </c>
      <c r="EN334" s="4" t="s">
        <v>974</v>
      </c>
      <c r="HM334" s="4"/>
    </row>
    <row r="335" spans="1:223" ht="30" x14ac:dyDescent="0.25">
      <c r="A335" s="19" t="s">
        <v>975</v>
      </c>
      <c r="B335" s="13" t="s">
        <v>229</v>
      </c>
      <c r="C335" s="3"/>
      <c r="D335" s="4" t="s">
        <v>281</v>
      </c>
      <c r="E335" s="4" t="s">
        <v>282</v>
      </c>
      <c r="I335" s="4" t="s">
        <v>400</v>
      </c>
      <c r="J335" s="3"/>
      <c r="K335" s="3"/>
      <c r="L335" s="3">
        <f>Planilha1!$J335-Planilha1!$K335</f>
        <v>0</v>
      </c>
      <c r="M335" s="3"/>
      <c r="ET335" s="4" t="s">
        <v>235</v>
      </c>
      <c r="HM335" s="4"/>
    </row>
    <row r="336" spans="1:223" x14ac:dyDescent="0.25">
      <c r="A336" s="19" t="s">
        <v>976</v>
      </c>
      <c r="B336" s="13" t="s">
        <v>229</v>
      </c>
      <c r="C336" s="3"/>
      <c r="D336" s="4" t="s">
        <v>281</v>
      </c>
      <c r="E336" s="4" t="s">
        <v>282</v>
      </c>
      <c r="I336" s="4" t="s">
        <v>400</v>
      </c>
      <c r="J336" s="3"/>
      <c r="K336" s="3"/>
      <c r="L336" s="3">
        <f>Planilha1!$J336-Planilha1!$K336</f>
        <v>0</v>
      </c>
      <c r="M336" s="3"/>
      <c r="EB336" s="4" t="s">
        <v>235</v>
      </c>
      <c r="HM336" s="4"/>
    </row>
    <row r="337" spans="1:221" x14ac:dyDescent="0.25">
      <c r="A337" s="19" t="s">
        <v>977</v>
      </c>
      <c r="B337" s="13" t="s">
        <v>229</v>
      </c>
      <c r="C337" s="3"/>
      <c r="D337" s="4" t="s">
        <v>281</v>
      </c>
      <c r="E337" s="4" t="s">
        <v>282</v>
      </c>
      <c r="I337" s="4" t="s">
        <v>400</v>
      </c>
      <c r="J337" s="3"/>
      <c r="K337" s="3"/>
      <c r="L337" s="3">
        <f>Planilha1!$J337-Planilha1!$K337</f>
        <v>0</v>
      </c>
      <c r="M337" s="3"/>
      <c r="FL337" s="4" t="s">
        <v>235</v>
      </c>
      <c r="HM337" s="4"/>
    </row>
    <row r="338" spans="1:221" ht="75" x14ac:dyDescent="0.25">
      <c r="A338" s="19" t="s">
        <v>978</v>
      </c>
      <c r="B338" s="13" t="s">
        <v>229</v>
      </c>
      <c r="C338" s="3"/>
      <c r="D338" s="4" t="s">
        <v>230</v>
      </c>
      <c r="E338" s="4"/>
      <c r="F338" s="4" t="s">
        <v>979</v>
      </c>
      <c r="G338" s="4">
        <v>30</v>
      </c>
      <c r="I338" s="4" t="s">
        <v>293</v>
      </c>
      <c r="J338" s="3"/>
      <c r="K338" s="3"/>
      <c r="L338" s="3">
        <f>Planilha1!$J338-Planilha1!$K338</f>
        <v>0</v>
      </c>
      <c r="M338" s="3"/>
      <c r="N338" s="4" t="s">
        <v>385</v>
      </c>
      <c r="AO338" s="4" t="s">
        <v>513</v>
      </c>
      <c r="AR338" s="4" t="s">
        <v>249</v>
      </c>
      <c r="BL338" s="4" t="s">
        <v>462</v>
      </c>
      <c r="DX338" s="4" t="s">
        <v>413</v>
      </c>
      <c r="EA338" s="4" t="s">
        <v>980</v>
      </c>
      <c r="EE338" s="4" t="s">
        <v>897</v>
      </c>
      <c r="FE338" s="4" t="s">
        <v>981</v>
      </c>
      <c r="GU338" s="4" t="s">
        <v>472</v>
      </c>
      <c r="HM338" s="4"/>
    </row>
    <row r="339" spans="1:221" ht="30" x14ac:dyDescent="0.25">
      <c r="A339" s="19" t="s">
        <v>982</v>
      </c>
      <c r="B339" s="13" t="s">
        <v>229</v>
      </c>
      <c r="C339" s="3"/>
      <c r="D339" s="4" t="s">
        <v>281</v>
      </c>
      <c r="E339" s="4" t="s">
        <v>331</v>
      </c>
      <c r="I339" s="4" t="s">
        <v>332</v>
      </c>
      <c r="J339" s="3"/>
      <c r="K339" s="3"/>
      <c r="L339" s="3">
        <f>Planilha1!$J339-Planilha1!$K339</f>
        <v>0</v>
      </c>
      <c r="M339" s="3"/>
      <c r="FL339" s="4" t="s">
        <v>235</v>
      </c>
      <c r="HM339" s="4"/>
    </row>
    <row r="340" spans="1:221" x14ac:dyDescent="0.25">
      <c r="A340" s="19" t="s">
        <v>983</v>
      </c>
      <c r="B340" s="13" t="s">
        <v>229</v>
      </c>
      <c r="C340" s="3"/>
      <c r="D340" s="4" t="s">
        <v>281</v>
      </c>
      <c r="E340" s="4" t="s">
        <v>331</v>
      </c>
      <c r="I340" s="4" t="s">
        <v>397</v>
      </c>
      <c r="J340" s="3"/>
      <c r="K340" s="3"/>
      <c r="L340" s="3">
        <f>Planilha1!$J340-Planilha1!$K340</f>
        <v>0</v>
      </c>
      <c r="M340" s="3"/>
      <c r="N340" s="4" t="s">
        <v>235</v>
      </c>
      <c r="HM340" s="4"/>
    </row>
    <row r="341" spans="1:221" x14ac:dyDescent="0.25">
      <c r="A341" s="19" t="s">
        <v>984</v>
      </c>
      <c r="B341" s="13" t="s">
        <v>229</v>
      </c>
      <c r="C341" s="3"/>
      <c r="D341" s="4" t="s">
        <v>281</v>
      </c>
      <c r="E341" s="4" t="s">
        <v>331</v>
      </c>
      <c r="I341" s="4" t="s">
        <v>397</v>
      </c>
      <c r="J341" s="3"/>
      <c r="K341" s="3"/>
      <c r="L341" s="3">
        <f>Planilha1!$J341-Planilha1!$K341</f>
        <v>0</v>
      </c>
      <c r="M341" s="3"/>
      <c r="DT341" s="4" t="s">
        <v>235</v>
      </c>
      <c r="HM341" s="4"/>
    </row>
    <row r="342" spans="1:221" x14ac:dyDescent="0.25">
      <c r="A342" s="19" t="s">
        <v>985</v>
      </c>
      <c r="B342" s="13" t="s">
        <v>229</v>
      </c>
      <c r="C342" s="3"/>
      <c r="D342" s="4" t="s">
        <v>281</v>
      </c>
      <c r="E342" s="4" t="s">
        <v>331</v>
      </c>
      <c r="I342" s="4" t="s">
        <v>397</v>
      </c>
      <c r="J342" s="3"/>
      <c r="K342" s="3"/>
      <c r="L342" s="3">
        <f>Planilha1!$J342-Planilha1!$K342</f>
        <v>0</v>
      </c>
      <c r="M342" s="3"/>
      <c r="CO342" s="4" t="s">
        <v>235</v>
      </c>
      <c r="HM342" s="4"/>
    </row>
    <row r="343" spans="1:221" ht="165" x14ac:dyDescent="0.25">
      <c r="A343" s="19" t="s">
        <v>986</v>
      </c>
      <c r="B343" s="13" t="s">
        <v>229</v>
      </c>
      <c r="C343" s="3"/>
      <c r="D343" s="4" t="s">
        <v>281</v>
      </c>
      <c r="E343" s="4" t="s">
        <v>331</v>
      </c>
      <c r="I343" s="4" t="s">
        <v>397</v>
      </c>
      <c r="J343" s="3"/>
      <c r="K343" s="3"/>
      <c r="L343" s="3">
        <f>Planilha1!$J343-Planilha1!$K343</f>
        <v>0</v>
      </c>
      <c r="M343" s="3"/>
      <c r="N343" s="4" t="s">
        <v>235</v>
      </c>
      <c r="BU343" s="4" t="s">
        <v>987</v>
      </c>
      <c r="HM343" s="4"/>
    </row>
    <row r="344" spans="1:221" ht="150" x14ac:dyDescent="0.25">
      <c r="A344" s="19" t="s">
        <v>988</v>
      </c>
      <c r="B344" s="13" t="s">
        <v>229</v>
      </c>
      <c r="C344" s="3"/>
      <c r="D344" s="4" t="s">
        <v>281</v>
      </c>
      <c r="E344" s="4" t="s">
        <v>331</v>
      </c>
      <c r="I344" s="4" t="s">
        <v>397</v>
      </c>
      <c r="J344" s="3"/>
      <c r="K344" s="3"/>
      <c r="L344" s="3">
        <f>Planilha1!$J344-Planilha1!$K344</f>
        <v>0</v>
      </c>
      <c r="M344" s="3"/>
      <c r="N344" s="4" t="s">
        <v>235</v>
      </c>
      <c r="GA344" s="4" t="s">
        <v>989</v>
      </c>
      <c r="HM344" s="4"/>
    </row>
    <row r="345" spans="1:221" ht="120" x14ac:dyDescent="0.25">
      <c r="A345" s="19" t="s">
        <v>990</v>
      </c>
      <c r="B345" s="13" t="s">
        <v>229</v>
      </c>
      <c r="C345" s="3"/>
      <c r="D345" s="4" t="s">
        <v>281</v>
      </c>
      <c r="E345" s="4" t="s">
        <v>331</v>
      </c>
      <c r="I345" s="4" t="s">
        <v>397</v>
      </c>
      <c r="J345" s="3"/>
      <c r="K345" s="3"/>
      <c r="L345" s="3">
        <f>Planilha1!$J345-Planilha1!$K345</f>
        <v>0</v>
      </c>
      <c r="M345" s="3"/>
      <c r="N345" s="4" t="s">
        <v>235</v>
      </c>
      <c r="GC345" s="4" t="s">
        <v>991</v>
      </c>
      <c r="HM345" s="4"/>
    </row>
    <row r="346" spans="1:221" x14ac:dyDescent="0.25">
      <c r="A346" s="19" t="s">
        <v>992</v>
      </c>
      <c r="B346" s="13" t="s">
        <v>229</v>
      </c>
      <c r="C346" s="3"/>
      <c r="D346" s="4" t="s">
        <v>281</v>
      </c>
      <c r="E346" s="4" t="s">
        <v>331</v>
      </c>
      <c r="I346" s="4" t="s">
        <v>397</v>
      </c>
      <c r="J346" s="3"/>
      <c r="K346" s="3"/>
      <c r="L346" s="3">
        <f>Planilha1!$J346-Planilha1!$K346</f>
        <v>0</v>
      </c>
      <c r="M346" s="3"/>
      <c r="DS346" s="4" t="s">
        <v>235</v>
      </c>
      <c r="EO346" s="4" t="s">
        <v>398</v>
      </c>
      <c r="GB346" s="4" t="s">
        <v>235</v>
      </c>
      <c r="HM346" s="4"/>
    </row>
    <row r="347" spans="1:221" x14ac:dyDescent="0.25">
      <c r="A347" s="19" t="s">
        <v>993</v>
      </c>
      <c r="B347" s="13" t="s">
        <v>229</v>
      </c>
      <c r="C347" s="3"/>
      <c r="D347" s="4" t="s">
        <v>281</v>
      </c>
      <c r="E347" s="4" t="s">
        <v>331</v>
      </c>
      <c r="I347" s="4" t="s">
        <v>397</v>
      </c>
      <c r="J347" s="3"/>
      <c r="K347" s="3"/>
      <c r="L347" s="3">
        <f>Planilha1!$J347-Planilha1!$K347</f>
        <v>0</v>
      </c>
      <c r="M347" s="3"/>
      <c r="GC347" s="4" t="s">
        <v>235</v>
      </c>
      <c r="HM347" s="4"/>
    </row>
    <row r="348" spans="1:221" x14ac:dyDescent="0.25">
      <c r="A348" s="19" t="s">
        <v>994</v>
      </c>
      <c r="B348" s="13" t="s">
        <v>229</v>
      </c>
      <c r="C348" s="3"/>
      <c r="D348" s="4" t="s">
        <v>281</v>
      </c>
      <c r="E348" s="4" t="s">
        <v>331</v>
      </c>
      <c r="I348" s="4" t="s">
        <v>397</v>
      </c>
      <c r="J348" s="3"/>
      <c r="K348" s="3"/>
      <c r="L348" s="3">
        <f>Planilha1!$J348-Planilha1!$K348</f>
        <v>0</v>
      </c>
      <c r="M348" s="3"/>
      <c r="N348" s="4" t="s">
        <v>235</v>
      </c>
      <c r="HM348" s="4"/>
    </row>
    <row r="349" spans="1:221" x14ac:dyDescent="0.25">
      <c r="A349" s="19" t="s">
        <v>995</v>
      </c>
      <c r="B349" s="13" t="s">
        <v>229</v>
      </c>
      <c r="C349" s="3"/>
      <c r="D349" s="4" t="s">
        <v>281</v>
      </c>
      <c r="E349" s="4" t="s">
        <v>331</v>
      </c>
      <c r="I349" s="4" t="s">
        <v>397</v>
      </c>
      <c r="J349" s="3"/>
      <c r="K349" s="3"/>
      <c r="L349" s="3">
        <f>Planilha1!$J349-Planilha1!$K349</f>
        <v>0</v>
      </c>
      <c r="M349" s="3"/>
      <c r="N349" s="4" t="s">
        <v>235</v>
      </c>
      <c r="HM349" s="4"/>
    </row>
    <row r="350" spans="1:221" ht="45" x14ac:dyDescent="0.25">
      <c r="A350" s="19" t="s">
        <v>996</v>
      </c>
      <c r="B350" s="13" t="s">
        <v>229</v>
      </c>
      <c r="C350" s="3"/>
      <c r="D350" s="4" t="s">
        <v>281</v>
      </c>
      <c r="E350" s="4" t="s">
        <v>331</v>
      </c>
      <c r="I350" s="4" t="s">
        <v>397</v>
      </c>
      <c r="J350" s="3"/>
      <c r="K350" s="3"/>
      <c r="L350" s="3">
        <f>Planilha1!$J350-Planilha1!$K350</f>
        <v>0</v>
      </c>
      <c r="M350" s="3"/>
      <c r="DU350" s="4" t="s">
        <v>354</v>
      </c>
      <c r="EU350" s="4" t="s">
        <v>997</v>
      </c>
      <c r="HL350" s="4" t="s">
        <v>235</v>
      </c>
      <c r="HM350" s="4"/>
    </row>
    <row r="351" spans="1:221" x14ac:dyDescent="0.25">
      <c r="A351" s="19" t="s">
        <v>998</v>
      </c>
      <c r="B351" s="13" t="s">
        <v>229</v>
      </c>
      <c r="C351" s="3"/>
      <c r="D351" s="4" t="s">
        <v>281</v>
      </c>
      <c r="E351" s="4" t="s">
        <v>331</v>
      </c>
      <c r="I351" s="4" t="s">
        <v>397</v>
      </c>
      <c r="J351" s="3"/>
      <c r="K351" s="3"/>
      <c r="L351" s="3">
        <f>Planilha1!$J351-Planilha1!$K351</f>
        <v>0</v>
      </c>
      <c r="M351" s="3"/>
      <c r="BU351" s="4" t="s">
        <v>235</v>
      </c>
      <c r="HM351" s="4"/>
    </row>
    <row r="352" spans="1:221" ht="60" x14ac:dyDescent="0.25">
      <c r="A352" s="19" t="s">
        <v>999</v>
      </c>
      <c r="B352" s="13" t="s">
        <v>229</v>
      </c>
      <c r="C352" s="3"/>
      <c r="D352" s="4" t="s">
        <v>281</v>
      </c>
      <c r="E352" s="4" t="s">
        <v>331</v>
      </c>
      <c r="I352" s="4" t="s">
        <v>397</v>
      </c>
      <c r="J352" s="3"/>
      <c r="K352" s="3"/>
      <c r="L352" s="3">
        <f>Planilha1!$J352-Planilha1!$K352</f>
        <v>0</v>
      </c>
      <c r="M352" s="3"/>
      <c r="N352" s="4" t="s">
        <v>235</v>
      </c>
      <c r="DT352" s="4" t="s">
        <v>1000</v>
      </c>
      <c r="HM352" s="4"/>
    </row>
    <row r="353" spans="1:231" x14ac:dyDescent="0.25">
      <c r="A353" s="19" t="s">
        <v>1001</v>
      </c>
      <c r="B353" s="13" t="s">
        <v>229</v>
      </c>
      <c r="C353" s="3"/>
      <c r="D353" s="4" t="s">
        <v>281</v>
      </c>
      <c r="E353" s="4" t="s">
        <v>331</v>
      </c>
      <c r="I353" s="4" t="s">
        <v>397</v>
      </c>
      <c r="J353" s="3"/>
      <c r="K353" s="3"/>
      <c r="L353" s="3">
        <f>Planilha1!$J353-Planilha1!$K353</f>
        <v>0</v>
      </c>
      <c r="M353" s="3"/>
      <c r="N353" s="4" t="s">
        <v>235</v>
      </c>
      <c r="HM353" s="4"/>
    </row>
    <row r="354" spans="1:231" x14ac:dyDescent="0.25">
      <c r="A354" s="19" t="s">
        <v>1002</v>
      </c>
      <c r="B354" s="13" t="s">
        <v>229</v>
      </c>
      <c r="C354" s="3"/>
      <c r="D354" s="4" t="s">
        <v>281</v>
      </c>
      <c r="E354" s="4" t="s">
        <v>331</v>
      </c>
      <c r="I354" s="4" t="s">
        <v>397</v>
      </c>
      <c r="J354" s="3"/>
      <c r="K354" s="3"/>
      <c r="L354" s="3">
        <f>Planilha1!$J354-Planilha1!$K354</f>
        <v>0</v>
      </c>
      <c r="M354" s="3"/>
      <c r="N354" s="4" t="s">
        <v>235</v>
      </c>
      <c r="HM354" s="4"/>
    </row>
    <row r="355" spans="1:231" x14ac:dyDescent="0.25">
      <c r="A355" s="19" t="s">
        <v>1003</v>
      </c>
      <c r="B355" s="13" t="s">
        <v>229</v>
      </c>
      <c r="C355" s="3"/>
      <c r="D355" s="4" t="s">
        <v>281</v>
      </c>
      <c r="E355" s="4" t="s">
        <v>331</v>
      </c>
      <c r="I355" s="4" t="s">
        <v>397</v>
      </c>
      <c r="J355" s="3"/>
      <c r="K355" s="3"/>
      <c r="L355" s="3">
        <f>Planilha1!$J355-Planilha1!$K355</f>
        <v>0</v>
      </c>
      <c r="M355" s="3"/>
      <c r="BN355" s="4" t="s">
        <v>235</v>
      </c>
      <c r="CA355" s="4" t="s">
        <v>398</v>
      </c>
      <c r="HM355" s="4"/>
    </row>
    <row r="356" spans="1:231" ht="135" x14ac:dyDescent="0.25">
      <c r="A356" s="2" t="s">
        <v>1004</v>
      </c>
      <c r="B356" s="13" t="s">
        <v>229</v>
      </c>
      <c r="C356" s="3"/>
      <c r="D356" s="4" t="s">
        <v>281</v>
      </c>
      <c r="E356" s="4" t="s">
        <v>331</v>
      </c>
      <c r="I356" s="4" t="s">
        <v>397</v>
      </c>
      <c r="J356" s="3"/>
      <c r="K356" s="3"/>
      <c r="L356" s="3">
        <f>Planilha1!$J356-Planilha1!$K356</f>
        <v>0</v>
      </c>
      <c r="M356" s="3"/>
      <c r="N356" s="4" t="s">
        <v>235</v>
      </c>
      <c r="AN356" s="4" t="s">
        <v>1005</v>
      </c>
      <c r="DT356" s="4" t="s">
        <v>398</v>
      </c>
      <c r="HM356" s="4"/>
    </row>
    <row r="357" spans="1:231" ht="45" x14ac:dyDescent="0.25">
      <c r="A357" s="19" t="s">
        <v>1006</v>
      </c>
      <c r="B357" s="13" t="s">
        <v>229</v>
      </c>
      <c r="C357" s="3"/>
      <c r="D357" s="4" t="s">
        <v>230</v>
      </c>
      <c r="E357" s="4"/>
      <c r="F357" s="4" t="s">
        <v>300</v>
      </c>
      <c r="G357" s="4">
        <v>30</v>
      </c>
      <c r="I357" s="4" t="s">
        <v>293</v>
      </c>
      <c r="J357" s="3"/>
      <c r="K357" s="3"/>
      <c r="L357" s="3">
        <f>Planilha1!$J357-Planilha1!$K357</f>
        <v>0</v>
      </c>
      <c r="M357" s="3"/>
      <c r="N357" s="4" t="s">
        <v>1007</v>
      </c>
      <c r="O357" s="4" t="s">
        <v>1008</v>
      </c>
      <c r="AA357" s="4" t="s">
        <v>1009</v>
      </c>
      <c r="AI357" s="4" t="s">
        <v>1010</v>
      </c>
      <c r="AR357" s="4" t="s">
        <v>1011</v>
      </c>
      <c r="DX357" s="4" t="s">
        <v>528</v>
      </c>
      <c r="EA357" s="4" t="s">
        <v>529</v>
      </c>
      <c r="FE357" s="4" t="s">
        <v>1012</v>
      </c>
      <c r="FJ357" s="4" t="s">
        <v>531</v>
      </c>
      <c r="HE357" s="4" t="s">
        <v>532</v>
      </c>
      <c r="HM357" s="4"/>
    </row>
    <row r="358" spans="1:231" s="23" customFormat="1" x14ac:dyDescent="0.25">
      <c r="A358" s="34" t="s">
        <v>1013</v>
      </c>
      <c r="B358" s="13" t="s">
        <v>229</v>
      </c>
      <c r="D358" s="4" t="s">
        <v>281</v>
      </c>
      <c r="E358" s="4" t="s">
        <v>331</v>
      </c>
      <c r="I358" s="23" t="s">
        <v>285</v>
      </c>
      <c r="HW358" s="44"/>
    </row>
    <row r="359" spans="1:231" s="23" customFormat="1" x14ac:dyDescent="0.25">
      <c r="A359" s="34" t="s">
        <v>1014</v>
      </c>
      <c r="B359" s="13" t="s">
        <v>229</v>
      </c>
      <c r="D359" s="4" t="s">
        <v>281</v>
      </c>
      <c r="E359" s="4" t="s">
        <v>331</v>
      </c>
      <c r="I359" s="23" t="s">
        <v>285</v>
      </c>
      <c r="HW359" s="44"/>
    </row>
    <row r="360" spans="1:231" ht="30" x14ac:dyDescent="0.25">
      <c r="A360" s="19" t="s">
        <v>1015</v>
      </c>
      <c r="B360" s="13" t="s">
        <v>229</v>
      </c>
      <c r="C360" s="3"/>
      <c r="D360" s="4" t="s">
        <v>281</v>
      </c>
      <c r="E360" s="4" t="s">
        <v>331</v>
      </c>
      <c r="I360" s="4" t="s">
        <v>1016</v>
      </c>
      <c r="J360" s="3"/>
      <c r="K360" s="3"/>
      <c r="L360" s="3">
        <f>Planilha1!$J360-Planilha1!$K360</f>
        <v>0</v>
      </c>
      <c r="M360" s="3"/>
      <c r="FM360" s="4" t="s">
        <v>235</v>
      </c>
      <c r="GH360" s="4" t="s">
        <v>1017</v>
      </c>
      <c r="HM360" s="4"/>
    </row>
    <row r="361" spans="1:231" x14ac:dyDescent="0.25">
      <c r="A361" s="19" t="s">
        <v>1018</v>
      </c>
      <c r="B361" s="13" t="s">
        <v>229</v>
      </c>
      <c r="C361" s="3"/>
      <c r="D361" s="4" t="s">
        <v>281</v>
      </c>
      <c r="E361" s="4" t="s">
        <v>331</v>
      </c>
      <c r="I361" s="4" t="s">
        <v>285</v>
      </c>
      <c r="J361" s="3"/>
      <c r="K361" s="3"/>
      <c r="L361" s="3">
        <f>Planilha1!$J361-Planilha1!$K361</f>
        <v>0</v>
      </c>
      <c r="M361" s="3"/>
      <c r="FZ361" s="4" t="s">
        <v>235</v>
      </c>
      <c r="HM361" s="4"/>
    </row>
    <row r="362" spans="1:231" ht="60" x14ac:dyDescent="0.25">
      <c r="A362" s="19" t="s">
        <v>1019</v>
      </c>
      <c r="B362" s="13" t="s">
        <v>229</v>
      </c>
      <c r="C362" s="3"/>
      <c r="D362" s="4" t="s">
        <v>281</v>
      </c>
      <c r="E362" s="4" t="s">
        <v>604</v>
      </c>
      <c r="I362" s="4" t="s">
        <v>406</v>
      </c>
      <c r="J362" s="3"/>
      <c r="K362" s="3"/>
      <c r="L362" s="3">
        <f>Planilha1!$J362-Planilha1!$K362</f>
        <v>0</v>
      </c>
      <c r="M362" s="3"/>
      <c r="CO362" s="4" t="s">
        <v>1020</v>
      </c>
      <c r="FP362" s="4" t="s">
        <v>368</v>
      </c>
      <c r="HM362" s="4"/>
    </row>
    <row r="363" spans="1:231" x14ac:dyDescent="0.25">
      <c r="A363" s="19" t="s">
        <v>1019</v>
      </c>
      <c r="B363" s="13" t="s">
        <v>229</v>
      </c>
      <c r="C363" s="3"/>
      <c r="D363" s="4" t="s">
        <v>281</v>
      </c>
      <c r="E363" s="4" t="s">
        <v>282</v>
      </c>
      <c r="I363" s="4" t="s">
        <v>406</v>
      </c>
      <c r="J363" s="3"/>
      <c r="K363" s="3"/>
      <c r="L363" s="3">
        <f>Planilha1!$J363-Planilha1!$K363</f>
        <v>0</v>
      </c>
      <c r="M363" s="3"/>
      <c r="EI363" s="4" t="s">
        <v>368</v>
      </c>
      <c r="HM363" s="4"/>
    </row>
    <row r="364" spans="1:231" ht="30" x14ac:dyDescent="0.25">
      <c r="A364" s="19" t="s">
        <v>1021</v>
      </c>
      <c r="B364" s="13" t="s">
        <v>229</v>
      </c>
      <c r="C364" s="3"/>
      <c r="D364" s="4" t="s">
        <v>230</v>
      </c>
      <c r="E364" s="4"/>
      <c r="F364" s="4" t="s">
        <v>1022</v>
      </c>
      <c r="G364" s="4" t="s">
        <v>301</v>
      </c>
      <c r="I364" s="4" t="s">
        <v>293</v>
      </c>
      <c r="J364" s="3"/>
      <c r="K364" s="3"/>
      <c r="L364" s="3">
        <f>Planilha1!$J364-Planilha1!$K364</f>
        <v>0</v>
      </c>
      <c r="M364" s="3"/>
      <c r="N364" s="4" t="s">
        <v>287</v>
      </c>
      <c r="AO364" s="4" t="s">
        <v>513</v>
      </c>
      <c r="AR364" s="4" t="s">
        <v>514</v>
      </c>
      <c r="HF364" s="4" t="s">
        <v>1023</v>
      </c>
      <c r="HM364" s="4"/>
    </row>
    <row r="365" spans="1:231" x14ac:dyDescent="0.25">
      <c r="A365" s="19" t="s">
        <v>1024</v>
      </c>
      <c r="B365" s="13" t="s">
        <v>229</v>
      </c>
      <c r="C365" s="3"/>
      <c r="D365" s="4" t="s">
        <v>230</v>
      </c>
      <c r="E365" s="4"/>
      <c r="F365" s="4" t="s">
        <v>292</v>
      </c>
      <c r="G365" s="4" t="s">
        <v>301</v>
      </c>
      <c r="I365" s="4" t="s">
        <v>482</v>
      </c>
      <c r="J365" s="3"/>
      <c r="K365" s="3"/>
      <c r="L365" s="3">
        <f>Planilha1!$J365-Planilha1!$K365</f>
        <v>0</v>
      </c>
      <c r="M365" s="3"/>
      <c r="DJ365" s="4" t="s">
        <v>235</v>
      </c>
      <c r="HM365" s="4"/>
    </row>
    <row r="366" spans="1:231" ht="45" x14ac:dyDescent="0.25">
      <c r="A366" s="19" t="s">
        <v>1025</v>
      </c>
      <c r="B366" s="13" t="s">
        <v>229</v>
      </c>
      <c r="C366" s="3"/>
      <c r="D366" s="4" t="s">
        <v>230</v>
      </c>
      <c r="E366" s="4"/>
      <c r="F366" s="4" t="s">
        <v>1026</v>
      </c>
      <c r="G366" s="4">
        <v>30</v>
      </c>
      <c r="I366" s="4" t="s">
        <v>317</v>
      </c>
      <c r="J366" s="3"/>
      <c r="K366" s="3"/>
      <c r="L366" s="3">
        <f>Planilha1!$J366-Planilha1!$K366</f>
        <v>0</v>
      </c>
      <c r="M366" s="3"/>
      <c r="GH366" s="4" t="s">
        <v>235</v>
      </c>
      <c r="HL366" s="4" t="s">
        <v>1027</v>
      </c>
      <c r="HM366" s="4"/>
    </row>
    <row r="367" spans="1:231" ht="30" x14ac:dyDescent="0.25">
      <c r="A367" s="19" t="s">
        <v>1028</v>
      </c>
      <c r="B367" s="13" t="s">
        <v>229</v>
      </c>
      <c r="C367" s="3"/>
      <c r="D367" s="4" t="s">
        <v>230</v>
      </c>
      <c r="E367" s="4"/>
      <c r="F367" s="4" t="s">
        <v>1022</v>
      </c>
      <c r="G367" s="4">
        <v>30</v>
      </c>
      <c r="I367" s="4" t="s">
        <v>293</v>
      </c>
      <c r="J367" s="3"/>
      <c r="K367" s="3"/>
      <c r="L367" s="3">
        <f>Planilha1!$J367-Planilha1!$K367</f>
        <v>0</v>
      </c>
      <c r="M367" s="3"/>
      <c r="N367" s="4" t="s">
        <v>1029</v>
      </c>
      <c r="V367" s="4" t="s">
        <v>350</v>
      </c>
      <c r="AO367" s="4" t="s">
        <v>1030</v>
      </c>
      <c r="AR367" s="4" t="s">
        <v>1031</v>
      </c>
      <c r="BH367" s="4" t="s">
        <v>350</v>
      </c>
      <c r="EF367" s="4" t="s">
        <v>702</v>
      </c>
      <c r="GZ367" s="4" t="s">
        <v>1032</v>
      </c>
      <c r="HL367" s="4" t="s">
        <v>511</v>
      </c>
      <c r="HM367" s="4"/>
    </row>
    <row r="368" spans="1:231" x14ac:dyDescent="0.25">
      <c r="A368" s="2" t="s">
        <v>1033</v>
      </c>
      <c r="B368" s="13" t="s">
        <v>229</v>
      </c>
      <c r="C368" s="3"/>
      <c r="D368" s="4" t="s">
        <v>230</v>
      </c>
      <c r="E368" s="4"/>
      <c r="F368" s="4" t="s">
        <v>292</v>
      </c>
      <c r="G368" s="4" t="s">
        <v>301</v>
      </c>
      <c r="I368" s="4" t="s">
        <v>482</v>
      </c>
      <c r="J368" s="3"/>
      <c r="K368" s="3"/>
      <c r="L368" s="3">
        <f>Planilha1!$J368-Planilha1!$K368</f>
        <v>0</v>
      </c>
      <c r="M368" s="3"/>
      <c r="R368" s="4" t="s">
        <v>235</v>
      </c>
      <c r="HM368" s="4"/>
    </row>
    <row r="369" spans="1:225" ht="30" x14ac:dyDescent="0.25">
      <c r="A369" s="19" t="s">
        <v>1034</v>
      </c>
      <c r="B369" s="13" t="s">
        <v>229</v>
      </c>
      <c r="C369" s="3"/>
      <c r="D369" s="4" t="s">
        <v>230</v>
      </c>
      <c r="E369" s="4"/>
      <c r="F369" s="4" t="s">
        <v>1022</v>
      </c>
      <c r="G369" s="4" t="s">
        <v>301</v>
      </c>
      <c r="I369" s="4" t="s">
        <v>293</v>
      </c>
      <c r="J369" s="3"/>
      <c r="K369" s="3"/>
      <c r="L369" s="3">
        <f>Planilha1!$J369-Planilha1!$K369</f>
        <v>0</v>
      </c>
      <c r="M369" s="3"/>
      <c r="N369" s="4" t="s">
        <v>385</v>
      </c>
      <c r="AO369" s="4" t="s">
        <v>513</v>
      </c>
      <c r="AR369" s="4" t="s">
        <v>1035</v>
      </c>
      <c r="HK369" s="4" t="s">
        <v>807</v>
      </c>
      <c r="HM369" s="4"/>
    </row>
    <row r="370" spans="1:225" ht="30" x14ac:dyDescent="0.25">
      <c r="A370" s="19" t="s">
        <v>1036</v>
      </c>
      <c r="B370" s="13" t="s">
        <v>229</v>
      </c>
      <c r="C370" s="3"/>
      <c r="D370" s="4" t="s">
        <v>230</v>
      </c>
      <c r="E370" s="4"/>
      <c r="F370" s="4" t="s">
        <v>1022</v>
      </c>
      <c r="G370" s="4" t="s">
        <v>301</v>
      </c>
      <c r="I370" s="4" t="s">
        <v>293</v>
      </c>
      <c r="J370" s="3"/>
      <c r="K370" s="3"/>
      <c r="L370" s="3">
        <f>Planilha1!$J370-Planilha1!$K370</f>
        <v>0</v>
      </c>
      <c r="M370" s="3"/>
      <c r="N370" s="4" t="s">
        <v>235</v>
      </c>
      <c r="AO370" s="4" t="s">
        <v>693</v>
      </c>
      <c r="AR370" s="4" t="s">
        <v>319</v>
      </c>
      <c r="FN370" s="4" t="s">
        <v>516</v>
      </c>
      <c r="HM370" s="4"/>
      <c r="HQ370" s="4" t="s">
        <v>350</v>
      </c>
    </row>
    <row r="371" spans="1:225" ht="30" x14ac:dyDescent="0.25">
      <c r="A371" s="19" t="s">
        <v>1037</v>
      </c>
      <c r="B371" s="13" t="s">
        <v>229</v>
      </c>
      <c r="C371" s="3"/>
      <c r="D371" s="4" t="s">
        <v>230</v>
      </c>
      <c r="E371" s="4"/>
      <c r="F371" s="4" t="s">
        <v>1022</v>
      </c>
      <c r="G371" s="4" t="s">
        <v>484</v>
      </c>
      <c r="I371" s="4" t="s">
        <v>293</v>
      </c>
      <c r="J371" s="3"/>
      <c r="K371" s="3"/>
      <c r="L371" s="3">
        <f>Planilha1!$J371-Planilha1!$K371</f>
        <v>0</v>
      </c>
      <c r="M371" s="3"/>
      <c r="N371" s="4" t="s">
        <v>368</v>
      </c>
      <c r="O371" s="4" t="s">
        <v>519</v>
      </c>
      <c r="V371" s="4" t="s">
        <v>350</v>
      </c>
      <c r="X371" s="4" t="s">
        <v>487</v>
      </c>
      <c r="AO371" s="4" t="s">
        <v>333</v>
      </c>
      <c r="AR371" s="4" t="s">
        <v>856</v>
      </c>
      <c r="BA371" s="4" t="s">
        <v>1038</v>
      </c>
      <c r="BX371" s="4" t="s">
        <v>1039</v>
      </c>
      <c r="BZ371" s="4" t="s">
        <v>350</v>
      </c>
      <c r="DJ371" s="4" t="s">
        <v>1040</v>
      </c>
      <c r="FO371" s="4" t="s">
        <v>492</v>
      </c>
      <c r="HC371" s="4" t="s">
        <v>799</v>
      </c>
      <c r="HM371" s="4"/>
    </row>
    <row r="372" spans="1:225" ht="30" x14ac:dyDescent="0.25">
      <c r="A372" s="19" t="s">
        <v>1041</v>
      </c>
      <c r="B372" s="13" t="s">
        <v>229</v>
      </c>
      <c r="C372" s="3"/>
      <c r="D372" s="4" t="s">
        <v>230</v>
      </c>
      <c r="E372" s="4"/>
      <c r="F372" s="4" t="s">
        <v>1022</v>
      </c>
      <c r="G372" s="4" t="s">
        <v>301</v>
      </c>
      <c r="I372" s="4" t="s">
        <v>482</v>
      </c>
      <c r="J372" s="3"/>
      <c r="K372" s="3"/>
      <c r="L372" s="3">
        <f>Planilha1!$J372-Planilha1!$K372</f>
        <v>0</v>
      </c>
      <c r="M372" s="3"/>
      <c r="N372" s="4" t="s">
        <v>235</v>
      </c>
      <c r="AO372" s="4" t="s">
        <v>682</v>
      </c>
      <c r="AR372" s="4" t="s">
        <v>480</v>
      </c>
      <c r="HM372" s="4"/>
    </row>
    <row r="373" spans="1:225" ht="30" x14ac:dyDescent="0.25">
      <c r="A373" s="19" t="s">
        <v>1042</v>
      </c>
      <c r="B373" s="13" t="s">
        <v>229</v>
      </c>
      <c r="C373" s="3"/>
      <c r="D373" s="4" t="s">
        <v>230</v>
      </c>
      <c r="E373" s="4"/>
      <c r="F373" s="4" t="s">
        <v>1043</v>
      </c>
      <c r="G373" s="4" t="s">
        <v>301</v>
      </c>
      <c r="I373" s="4" t="s">
        <v>293</v>
      </c>
      <c r="J373" s="3"/>
      <c r="K373" s="3"/>
      <c r="L373" s="3">
        <f>Planilha1!$J373-Planilha1!$K373</f>
        <v>0</v>
      </c>
      <c r="M373" s="3"/>
      <c r="N373" s="4" t="s">
        <v>235</v>
      </c>
      <c r="AO373" s="4" t="s">
        <v>682</v>
      </c>
      <c r="AR373" s="4" t="s">
        <v>480</v>
      </c>
      <c r="HK373" s="4" t="s">
        <v>807</v>
      </c>
      <c r="HM373" s="4"/>
    </row>
    <row r="374" spans="1:225" ht="30" x14ac:dyDescent="0.25">
      <c r="A374" s="19" t="s">
        <v>1044</v>
      </c>
      <c r="B374" s="13" t="s">
        <v>229</v>
      </c>
      <c r="C374" s="3"/>
      <c r="D374" s="4" t="s">
        <v>230</v>
      </c>
      <c r="E374" s="4"/>
      <c r="F374" s="4" t="s">
        <v>292</v>
      </c>
      <c r="G374" s="4">
        <v>24</v>
      </c>
      <c r="I374" s="4" t="s">
        <v>293</v>
      </c>
      <c r="J374" s="3"/>
      <c r="K374" s="3"/>
      <c r="L374" s="3">
        <f>Planilha1!$J374-Planilha1!$K374</f>
        <v>0</v>
      </c>
      <c r="M374" s="3"/>
      <c r="T374" s="4" t="s">
        <v>235</v>
      </c>
      <c r="AR374" s="4" t="s">
        <v>1045</v>
      </c>
      <c r="AW374" s="4" t="s">
        <v>1046</v>
      </c>
      <c r="HK374" s="4" t="s">
        <v>807</v>
      </c>
      <c r="HM374" s="4"/>
    </row>
    <row r="375" spans="1:225" x14ac:dyDescent="0.25">
      <c r="A375" s="19" t="s">
        <v>1047</v>
      </c>
      <c r="B375" s="13" t="s">
        <v>229</v>
      </c>
      <c r="C375" s="3"/>
      <c r="D375" s="4" t="s">
        <v>230</v>
      </c>
      <c r="E375" s="4"/>
      <c r="F375" s="4" t="s">
        <v>292</v>
      </c>
      <c r="G375" s="4" t="s">
        <v>301</v>
      </c>
      <c r="I375" s="4" t="s">
        <v>482</v>
      </c>
      <c r="J375" s="3"/>
      <c r="K375" s="3"/>
      <c r="L375" s="3">
        <f>Planilha1!$J375-Planilha1!$K375</f>
        <v>0</v>
      </c>
      <c r="M375" s="3"/>
      <c r="AR375" s="4" t="s">
        <v>1048</v>
      </c>
      <c r="AU375" s="4" t="s">
        <v>235</v>
      </c>
      <c r="HM375" s="4"/>
    </row>
    <row r="376" spans="1:225" ht="30" x14ac:dyDescent="0.25">
      <c r="A376" s="19" t="s">
        <v>1049</v>
      </c>
      <c r="B376" s="13" t="s">
        <v>229</v>
      </c>
      <c r="C376" s="3"/>
      <c r="D376" s="4" t="s">
        <v>230</v>
      </c>
      <c r="E376" s="4"/>
      <c r="F376" s="4" t="s">
        <v>1022</v>
      </c>
      <c r="G376" s="4" t="s">
        <v>301</v>
      </c>
      <c r="I376" s="4" t="s">
        <v>482</v>
      </c>
      <c r="J376" s="3"/>
      <c r="K376" s="3"/>
      <c r="L376" s="3">
        <f>Planilha1!$J376-Planilha1!$K376</f>
        <v>0</v>
      </c>
      <c r="M376" s="3"/>
      <c r="N376" s="4" t="s">
        <v>235</v>
      </c>
      <c r="AO376" s="4" t="s">
        <v>693</v>
      </c>
      <c r="AR376" s="4" t="s">
        <v>319</v>
      </c>
      <c r="HM376" s="4"/>
    </row>
    <row r="377" spans="1:225" ht="30" x14ac:dyDescent="0.25">
      <c r="A377" s="19" t="s">
        <v>1050</v>
      </c>
      <c r="B377" s="13" t="s">
        <v>229</v>
      </c>
      <c r="C377" s="3"/>
      <c r="D377" s="4" t="s">
        <v>230</v>
      </c>
      <c r="E377" s="4"/>
      <c r="F377" s="4" t="s">
        <v>1022</v>
      </c>
      <c r="G377" s="4">
        <v>20</v>
      </c>
      <c r="I377" s="4" t="s">
        <v>293</v>
      </c>
      <c r="J377" s="3"/>
      <c r="K377" s="3"/>
      <c r="L377" s="3">
        <f>Planilha1!$J377-Planilha1!$K377</f>
        <v>0</v>
      </c>
      <c r="M377" s="3"/>
      <c r="N377" s="4" t="s">
        <v>290</v>
      </c>
      <c r="AO377" s="4" t="s">
        <v>701</v>
      </c>
      <c r="AR377" s="4" t="s">
        <v>1051</v>
      </c>
      <c r="BS377" s="4" t="s">
        <v>350</v>
      </c>
      <c r="DC377" s="4" t="s">
        <v>1052</v>
      </c>
      <c r="EH377" s="4" t="s">
        <v>1053</v>
      </c>
      <c r="EK377" s="4" t="s">
        <v>511</v>
      </c>
      <c r="EP377" s="4" t="s">
        <v>504</v>
      </c>
      <c r="FI377" s="4" t="s">
        <v>505</v>
      </c>
      <c r="HH377" s="4" t="s">
        <v>1023</v>
      </c>
      <c r="HM377" s="4"/>
    </row>
    <row r="378" spans="1:225" ht="90" x14ac:dyDescent="0.25">
      <c r="A378" s="19" t="s">
        <v>1054</v>
      </c>
      <c r="B378" s="13" t="s">
        <v>229</v>
      </c>
      <c r="C378" s="3"/>
      <c r="D378" s="4" t="s">
        <v>230</v>
      </c>
      <c r="E378" s="4"/>
      <c r="F378" s="4" t="s">
        <v>1055</v>
      </c>
      <c r="G378" s="4">
        <v>30</v>
      </c>
      <c r="I378" s="4" t="s">
        <v>293</v>
      </c>
      <c r="J378" s="3"/>
      <c r="K378" s="3"/>
      <c r="L378" s="3">
        <f>Planilha1!$J378-Planilha1!$K378</f>
        <v>0</v>
      </c>
      <c r="M378" s="3"/>
      <c r="N378" s="4" t="s">
        <v>287</v>
      </c>
      <c r="AO378" s="4" t="s">
        <v>513</v>
      </c>
      <c r="AR378" s="4" t="s">
        <v>514</v>
      </c>
      <c r="CJ378" s="4" t="s">
        <v>249</v>
      </c>
      <c r="DC378" s="4" t="s">
        <v>243</v>
      </c>
      <c r="FR378" s="4" t="s">
        <v>1056</v>
      </c>
      <c r="HA378" s="4" t="s">
        <v>322</v>
      </c>
      <c r="HM378" s="4"/>
    </row>
    <row r="379" spans="1:225" ht="30" x14ac:dyDescent="0.25">
      <c r="A379" s="19" t="s">
        <v>1057</v>
      </c>
      <c r="B379" s="13" t="s">
        <v>229</v>
      </c>
      <c r="C379" s="3"/>
      <c r="D379" s="4" t="s">
        <v>230</v>
      </c>
      <c r="E379" s="4"/>
      <c r="G379" s="4">
        <v>30</v>
      </c>
      <c r="I379" s="4" t="s">
        <v>293</v>
      </c>
      <c r="J379" s="3"/>
      <c r="K379" s="3"/>
      <c r="L379" s="3">
        <f>Planilha1!$J379-Planilha1!$K379</f>
        <v>0</v>
      </c>
      <c r="M379" s="3"/>
      <c r="GE379" s="4" t="s">
        <v>235</v>
      </c>
      <c r="HK379" s="4" t="s">
        <v>328</v>
      </c>
      <c r="HM379" s="4"/>
    </row>
    <row r="380" spans="1:225" x14ac:dyDescent="0.25">
      <c r="A380" s="19" t="s">
        <v>1058</v>
      </c>
      <c r="B380" s="13" t="s">
        <v>229</v>
      </c>
      <c r="C380" s="3"/>
      <c r="D380" s="4" t="s">
        <v>230</v>
      </c>
      <c r="E380" s="4"/>
      <c r="F380" s="4" t="s">
        <v>231</v>
      </c>
      <c r="G380" s="4">
        <v>30</v>
      </c>
      <c r="I380" s="4" t="s">
        <v>233</v>
      </c>
      <c r="J380" s="3"/>
      <c r="K380" s="3"/>
      <c r="L380" s="3">
        <f>Planilha1!$J380-Planilha1!$K380</f>
        <v>0</v>
      </c>
      <c r="M380" s="3"/>
      <c r="GE380" s="4" t="s">
        <v>235</v>
      </c>
      <c r="HM380" s="4"/>
    </row>
    <row r="381" spans="1:225" ht="30" x14ac:dyDescent="0.25">
      <c r="A381" s="2" t="s">
        <v>1059</v>
      </c>
      <c r="B381" s="13" t="s">
        <v>229</v>
      </c>
      <c r="C381" s="3"/>
      <c r="D381" s="4" t="s">
        <v>230</v>
      </c>
      <c r="E381" s="4"/>
      <c r="F381" s="4" t="s">
        <v>300</v>
      </c>
      <c r="G381" s="4" t="s">
        <v>301</v>
      </c>
      <c r="I381" s="4" t="s">
        <v>1060</v>
      </c>
      <c r="J381" s="3"/>
      <c r="K381" s="3"/>
      <c r="L381" s="3">
        <f>Planilha1!$J381-Planilha1!$K381</f>
        <v>0</v>
      </c>
      <c r="M381" s="3"/>
      <c r="R381" s="4" t="s">
        <v>368</v>
      </c>
      <c r="HM381" s="4"/>
    </row>
    <row r="382" spans="1:225" ht="30" x14ac:dyDescent="0.25">
      <c r="A382" s="19" t="s">
        <v>1061</v>
      </c>
      <c r="B382" s="13" t="s">
        <v>229</v>
      </c>
      <c r="C382" s="3"/>
      <c r="D382" s="4" t="s">
        <v>230</v>
      </c>
      <c r="E382" s="4"/>
      <c r="F382" s="4" t="s">
        <v>231</v>
      </c>
      <c r="G382" s="4">
        <v>25</v>
      </c>
      <c r="I382" s="4" t="s">
        <v>233</v>
      </c>
      <c r="J382" s="3"/>
      <c r="K382" s="3"/>
      <c r="L382" s="3">
        <f>Planilha1!$J382-Planilha1!$K382</f>
        <v>0</v>
      </c>
      <c r="M382" s="3"/>
      <c r="DJ382" s="4" t="s">
        <v>327</v>
      </c>
      <c r="FA382" s="4" t="s">
        <v>1062</v>
      </c>
      <c r="HM382" s="4"/>
    </row>
  </sheetData>
  <phoneticPr fontId="8" type="noConversion"/>
  <conditionalFormatting sqref="B2:B382">
    <cfRule type="cellIs" dxfId="4" priority="1" operator="equal">
      <formula>"Revogado"</formula>
    </cfRule>
    <cfRule type="cellIs" dxfId="3" priority="2" operator="equal">
      <formula>"Em extinção"</formula>
    </cfRule>
    <cfRule type="cellIs" dxfId="2" priority="3" operator="equal">
      <formula>"Extinto"</formula>
    </cfRule>
    <cfRule type="cellIs" dxfId="1" priority="4" operator="equal">
      <formula>"Em vigor"</formula>
    </cfRule>
  </conditionalFormatting>
  <conditionalFormatting sqref="L2">
    <cfRule type="cellIs" dxfId="0" priority="8" operator="greater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Carlos Leandro Santos</cp:lastModifiedBy>
  <cp:revision>5</cp:revision>
  <cp:lastPrinted>2026-05-06T18:20:27Z</cp:lastPrinted>
  <dcterms:created xsi:type="dcterms:W3CDTF">2023-09-25T14:05:51Z</dcterms:created>
  <dcterms:modified xsi:type="dcterms:W3CDTF">2026-05-15T00:46:23Z</dcterms:modified>
  <dc:language>pt-BR</dc:language>
</cp:coreProperties>
</file>